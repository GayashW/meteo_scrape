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8_{F1DCD97E-9463-4561-996D-6C5813A77C0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11" i="2"/>
  <c r="D10" i="2"/>
  <c r="D9" i="2"/>
  <c r="D8" i="2"/>
  <c r="D7" i="2"/>
  <c r="D6" i="2"/>
  <c r="D5" i="2"/>
  <c r="D4" i="2"/>
  <c r="D3" i="2"/>
  <c r="D2" i="2"/>
  <c r="L16" i="2"/>
  <c r="L15" i="2"/>
  <c r="L14" i="2"/>
  <c r="L13" i="2"/>
  <c r="L12" i="2"/>
  <c r="L11" i="2"/>
  <c r="L10" i="2"/>
  <c r="L9" i="2"/>
  <c r="L8" i="2"/>
  <c r="L6" i="2"/>
  <c r="L5" i="2"/>
  <c r="L4" i="2"/>
  <c r="L3" i="2"/>
  <c r="L2" i="2"/>
  <c r="L1" i="2"/>
  <c r="L7" i="2"/>
</calcChain>
</file>

<file path=xl/sharedStrings.xml><?xml version="1.0" encoding="utf-8"?>
<sst xmlns="http://schemas.openxmlformats.org/spreadsheetml/2006/main" count="173" uniqueCount="59">
  <si>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</si>
  <si>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</si>
  <si>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</si>
  <si>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</si>
  <si>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</si>
  <si>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</si>
  <si>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</si>
  <si>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</si>
  <si>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</si>
  <si>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</si>
  <si>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</si>
  <si>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</si>
  <si>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</si>
  <si>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</si>
  <si>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</si>
  <si>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</si>
  <si>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</si>
  <si>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</si>
  <si>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</si>
  <si>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</si>
  <si>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</si>
  <si>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</si>
  <si>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</si>
  <si>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</si>
  <si>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</si>
  <si>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</si>
  <si>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</si>
  <si>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</si>
  <si>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</si>
  <si>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</si>
  <si>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</si>
  <si>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</si>
  <si>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</si>
  <si>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</si>
  <si>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</si>
  <si>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</si>
  <si>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</si>
  <si>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</si>
  <si>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</si>
  <si>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</si>
  <si>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</si>
  <si>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</si>
  <si>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</si>
  <si>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</si>
  <si>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</si>
  <si>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</si>
  <si>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</si>
  <si>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</si>
  <si>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</si>
  <si>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</si>
  <si>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TR</t>
  </si>
  <si>
    <t>0.0</t>
  </si>
  <si>
    <t>2025-12-27 1730</t>
  </si>
  <si>
    <t>2025-12-27 2030</t>
  </si>
  <si>
    <t>26.0</t>
  </si>
  <si>
    <t>27.0</t>
  </si>
  <si>
    <t>2025-12-27 2330</t>
  </si>
  <si>
    <t>260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</si>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</sst>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14" sqref="H14:H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56</v>
      </c>
      <c r="D2" s="17" t="s">
        <v>51</v>
      </c>
      <c r="E2" s="17" t="s">
        <v>51</v>
      </c>
      <c r="F2" s="17">
        <v>26.1</v>
      </c>
      <c r="G2" s="17">
        <v>85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56</v>
      </c>
      <c r="D3" s="17" t="s">
        <v>51</v>
      </c>
      <c r="E3" s="17">
        <v>0.2</v>
      </c>
      <c r="F3" s="17" t="s">
        <v>57</v>
      </c>
      <c r="G3" s="17">
        <v>82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56</v>
      </c>
      <c r="D4" s="17" t="s">
        <v>51</v>
      </c>
      <c r="E4" s="17" t="s">
        <v>50</v>
      </c>
      <c r="F4" s="17">
        <v>23.7</v>
      </c>
      <c r="G4" s="17">
        <v>91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56</v>
      </c>
      <c r="D5" s="17" t="s">
        <v>51</v>
      </c>
      <c r="E5" s="17" t="s">
        <v>51</v>
      </c>
      <c r="F5" s="17">
        <v>24.6</v>
      </c>
      <c r="G5" s="17">
        <v>88</v>
      </c>
      <c r="H5" s="17" t="s">
        <v>38</v>
      </c>
    </row>
    <row r="6" spans="1:8" x14ac:dyDescent="0.25">
      <c r="A6" s="1">
        <v>43436</v>
      </c>
      <c r="B6" s="2" t="s">
        <v>15</v>
      </c>
      <c r="C6" s="2" t="s">
        <v>56</v>
      </c>
      <c r="D6" s="17" t="s">
        <v>51</v>
      </c>
      <c r="E6" s="17" t="s">
        <v>50</v>
      </c>
      <c r="F6" s="17">
        <v>26.8</v>
      </c>
      <c r="G6" s="17">
        <v>83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56</v>
      </c>
      <c r="D7" s="17" t="s">
        <v>51</v>
      </c>
      <c r="E7" s="17" t="s">
        <v>50</v>
      </c>
      <c r="F7" s="17">
        <v>24.6</v>
      </c>
      <c r="G7" s="17">
        <v>82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56</v>
      </c>
      <c r="D8" s="17" t="s">
        <v>51</v>
      </c>
      <c r="E8" s="17" t="s">
        <v>51</v>
      </c>
      <c r="F8" s="17">
        <v>21.2</v>
      </c>
      <c r="G8" s="17">
        <v>91</v>
      </c>
      <c r="H8" s="17" t="s">
        <v>38</v>
      </c>
    </row>
    <row r="9" spans="1:8" x14ac:dyDescent="0.25">
      <c r="A9" s="1">
        <v>43450</v>
      </c>
      <c r="B9" s="2" t="s">
        <v>17</v>
      </c>
      <c r="C9" s="2" t="s">
        <v>56</v>
      </c>
      <c r="D9" s="17" t="s">
        <v>51</v>
      </c>
      <c r="E9" s="17" t="s">
        <v>51</v>
      </c>
      <c r="F9" s="17">
        <v>24.8</v>
      </c>
      <c r="G9" s="17">
        <v>85</v>
      </c>
      <c r="H9" s="17" t="s">
        <v>38</v>
      </c>
    </row>
    <row r="10" spans="1:8" x14ac:dyDescent="0.25">
      <c r="A10" s="1">
        <v>43466</v>
      </c>
      <c r="B10" s="2" t="s">
        <v>18</v>
      </c>
      <c r="C10" s="2" t="s">
        <v>56</v>
      </c>
      <c r="D10" s="17" t="s">
        <v>51</v>
      </c>
      <c r="E10" s="17" t="s">
        <v>51</v>
      </c>
      <c r="F10" s="17">
        <v>26.3</v>
      </c>
      <c r="G10" s="17">
        <v>74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56</v>
      </c>
      <c r="D11" s="17" t="s">
        <v>51</v>
      </c>
      <c r="E11" s="17" t="s">
        <v>51</v>
      </c>
      <c r="F11" s="17" t="s">
        <v>55</v>
      </c>
      <c r="G11" s="17">
        <v>73</v>
      </c>
      <c r="H11" s="17" t="s">
        <v>36</v>
      </c>
    </row>
    <row r="12" spans="1:8" x14ac:dyDescent="0.25">
      <c r="A12" s="1">
        <v>43473</v>
      </c>
      <c r="B12" s="2" t="s">
        <v>20</v>
      </c>
      <c r="C12" s="2" t="s">
        <v>56</v>
      </c>
      <c r="D12" s="17" t="s">
        <v>51</v>
      </c>
      <c r="E12" s="17" t="s">
        <v>51</v>
      </c>
      <c r="F12" s="17">
        <v>13.9</v>
      </c>
      <c r="G12" s="17">
        <v>94</v>
      </c>
      <c r="H12" s="17" t="s">
        <v>36</v>
      </c>
    </row>
    <row r="13" spans="1:8" x14ac:dyDescent="0.25">
      <c r="A13" s="1">
        <v>43486</v>
      </c>
      <c r="B13" s="2" t="s">
        <v>23</v>
      </c>
      <c r="C13" s="2" t="s">
        <v>56</v>
      </c>
      <c r="D13" s="17" t="s">
        <v>51</v>
      </c>
      <c r="E13" s="17" t="s">
        <v>51</v>
      </c>
      <c r="F13" s="17">
        <v>23.9</v>
      </c>
      <c r="G13" s="17">
        <v>90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56</v>
      </c>
      <c r="D14" s="17" t="s">
        <v>51</v>
      </c>
      <c r="E14" s="17" t="s">
        <v>51</v>
      </c>
      <c r="F14" s="17">
        <v>25.1</v>
      </c>
      <c r="G14" s="17">
        <v>86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56</v>
      </c>
      <c r="D15" s="17" t="s">
        <v>51</v>
      </c>
      <c r="E15" s="17" t="s">
        <v>51</v>
      </c>
      <c r="F15" s="17">
        <v>25.2</v>
      </c>
      <c r="G15" s="17">
        <v>89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56</v>
      </c>
      <c r="D16" s="17" t="s">
        <v>51</v>
      </c>
      <c r="E16" s="17" t="s">
        <v>51</v>
      </c>
      <c r="F16" s="17" t="s">
        <v>58</v>
      </c>
      <c r="G16" s="17">
        <v>91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52</v>
      </c>
      <c r="D17" s="17" t="s">
        <v>51</v>
      </c>
      <c r="E17" s="17">
        <v>0.5</v>
      </c>
      <c r="F17" s="17">
        <v>23.2</v>
      </c>
      <c r="G17" s="17">
        <v>89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52</v>
      </c>
      <c r="D18" s="17" t="s">
        <v>51</v>
      </c>
      <c r="E18" s="17">
        <v>9.8000000000000007</v>
      </c>
      <c r="F18" s="17" t="s">
        <v>54</v>
      </c>
      <c r="G18" s="17">
        <v>92</v>
      </c>
      <c r="H18" s="17" t="s">
        <v>35</v>
      </c>
    </row>
    <row r="19" spans="1:8" x14ac:dyDescent="0.25">
      <c r="A19" s="3">
        <v>43410</v>
      </c>
      <c r="B19" s="3" t="s">
        <v>8</v>
      </c>
      <c r="C19" s="2" t="s">
        <v>52</v>
      </c>
      <c r="D19" s="17" t="s">
        <v>51</v>
      </c>
      <c r="E19" s="17" t="s">
        <v>51</v>
      </c>
      <c r="F19" s="17">
        <v>27.3</v>
      </c>
      <c r="G19" s="17">
        <v>77</v>
      </c>
      <c r="H19" s="17" t="s">
        <v>34</v>
      </c>
    </row>
    <row r="20" spans="1:8" x14ac:dyDescent="0.25">
      <c r="A20" s="1">
        <v>43422</v>
      </c>
      <c r="B20" s="1" t="s">
        <v>13</v>
      </c>
      <c r="C20" s="2" t="s">
        <v>52</v>
      </c>
      <c r="D20" s="17" t="s">
        <v>51</v>
      </c>
      <c r="E20" s="17" t="s">
        <v>51</v>
      </c>
      <c r="F20" s="17" t="s">
        <v>54</v>
      </c>
      <c r="G20" s="17">
        <v>79</v>
      </c>
      <c r="H20" s="17" t="s">
        <v>35</v>
      </c>
    </row>
    <row r="21" spans="1:8" x14ac:dyDescent="0.25">
      <c r="A21" s="1">
        <v>43479</v>
      </c>
      <c r="B21" s="1" t="s">
        <v>22</v>
      </c>
      <c r="C21" s="2" t="s">
        <v>52</v>
      </c>
      <c r="D21" s="17" t="s">
        <v>51</v>
      </c>
      <c r="E21" s="17">
        <v>0.2</v>
      </c>
      <c r="F21" s="17">
        <v>20.2</v>
      </c>
      <c r="G21" s="17">
        <v>94</v>
      </c>
      <c r="H21" s="18" t="s">
        <v>35</v>
      </c>
    </row>
    <row r="22" spans="1:8" x14ac:dyDescent="0.25">
      <c r="A22" s="1">
        <v>43415</v>
      </c>
      <c r="B22" s="1" t="s">
        <v>10</v>
      </c>
      <c r="C22" s="2" t="s">
        <v>52</v>
      </c>
      <c r="D22" s="17" t="s">
        <v>51</v>
      </c>
      <c r="E22" s="17" t="s">
        <v>51</v>
      </c>
      <c r="F22" s="17" t="s">
        <v>55</v>
      </c>
      <c r="G22" s="17">
        <v>78</v>
      </c>
      <c r="H22" s="17" t="s">
        <v>32</v>
      </c>
    </row>
    <row r="23" spans="1:8" x14ac:dyDescent="0.25">
      <c r="A23" s="1">
        <v>43404</v>
      </c>
      <c r="B23" s="1" t="s">
        <v>7</v>
      </c>
      <c r="C23" s="2" t="s">
        <v>53</v>
      </c>
      <c r="D23" s="17" t="s">
        <v>51</v>
      </c>
      <c r="E23" s="17" t="s">
        <v>51</v>
      </c>
      <c r="F23" s="17">
        <v>24.8</v>
      </c>
      <c r="G23" s="17">
        <v>84</v>
      </c>
      <c r="H23" s="17" t="s">
        <v>36</v>
      </c>
    </row>
    <row r="24" spans="1:8" x14ac:dyDescent="0.25">
      <c r="A24" s="1">
        <v>43476</v>
      </c>
      <c r="B24" s="1" t="s">
        <v>21</v>
      </c>
      <c r="C24" s="2" t="s">
        <v>53</v>
      </c>
      <c r="D24" s="17" t="s">
        <v>51</v>
      </c>
      <c r="E24" s="17" t="s">
        <v>50</v>
      </c>
      <c r="F24" s="17">
        <v>17.399999999999999</v>
      </c>
      <c r="G24" s="17">
        <v>100</v>
      </c>
      <c r="H24" s="17" t="s">
        <v>37</v>
      </c>
    </row>
    <row r="25" spans="1:8" x14ac:dyDescent="0.25">
      <c r="A25" s="1">
        <v>43475</v>
      </c>
      <c r="B25" s="2" t="s">
        <v>26</v>
      </c>
      <c r="C25" s="2" t="s">
        <v>53</v>
      </c>
      <c r="D25" s="17" t="s">
        <v>51</v>
      </c>
      <c r="E25" s="17">
        <v>0.7</v>
      </c>
      <c r="F25" s="17">
        <v>24.6</v>
      </c>
      <c r="G25" s="17">
        <v>95</v>
      </c>
      <c r="H25" s="17" t="s">
        <v>45</v>
      </c>
    </row>
  </sheetData>
  <sortState xmlns:xlrd2="http://schemas.microsoft.com/office/spreadsheetml/2017/richdata2" ref="A3:H20">
    <sortCondition ref="A3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7" zoomScale="150" zoomScaleNormal="15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hidden="1" customWidth="1"/>
    <col min="11" max="12" width="9.14062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e">
        <f t="shared" ref="L1:L16" si="0">VLOOKUP(J1,$E$3:$F$24,2,FALSE)</f>
        <v>#N/A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VLOOKUP(C2,$E$3:$F$24,2,FALSE)</f>
        <v>fairday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6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</row>
    <row r="18" spans="1:6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6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  <c r="E19" s="7">
        <v>2</v>
      </c>
      <c r="F19" s="7" t="s">
        <v>32</v>
      </c>
    </row>
    <row r="20" spans="1:6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  <c r="E20" s="7">
        <v>8</v>
      </c>
      <c r="F20" s="7" t="s">
        <v>39</v>
      </c>
    </row>
    <row r="21" spans="1:6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  <c r="E21" s="7">
        <v>10</v>
      </c>
      <c r="F21" s="7" t="s">
        <v>47</v>
      </c>
    </row>
    <row r="22" spans="1:6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6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6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6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2025-12-27T18:37:12Z</dcterms:modified>
</cp:coreProperties>
</file>