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B842C8BC-277F-4403-B697-9AC2522BDC94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Sheet1!$A$19:$O$19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<sst xmlns="http://schemas.openxmlformats.org/spreadsheetml/2006/main" count="652" uniqueCount="93">
  <si>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</si>
  <si>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</si>
  <si>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</si>
  <si>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</si>
  <si>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</si>
  <si>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</si>
  <si>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</si>
  <si>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</si>
  <si>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</si>
  <si>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</si>
  <si>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</si>
  <si>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</si>
  <si>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</si>
  <si>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</si>
  <si>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</si>
  <si>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</si>
  <si>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</si>
  <si>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</si>
  <si>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</si>
  <si>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</si>
  <si>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</si>
  <si>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</si>
  <si>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</si>
  <si>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</si>
  <si>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</si>
  <si>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</si>
  <si>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</si>
  <si>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</si>
  <si>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</si>
  <si>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</si>
  <si>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</si>
  <si>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</si>
  <si>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</si>
  <si>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</si>
  <si>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</si>
  <si>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</si>
  <si>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</si>
  <si>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</si>
  <si>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</si>
  <si>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</si>
  <si>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</si>
  <si>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</si>
  <si>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</si>
  <si>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</si>
  <si>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</si>
  <si>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</si>
  <si>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</si>
  <si>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</si>
  <si>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</si>
  <si>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</si>
  <si>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</si>
  <si>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</si>
  <si>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</si>
  <si>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</si>
  <si>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</si>
  <si>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</si>
  <si>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</si>
  <si>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</si>
  <si>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</si>
  <si>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</si>
  <si>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</si>
  <si>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</si>
  <si>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</si>
  <si>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</si>
  <si>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</si>
  <si>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</si>
  <si>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</si>
  <si>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</si>
  <si>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</si>
  <si>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</si>
  <si>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</si>
  <si>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</si>
  <si>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</si>
  <si>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</si>
  <si>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</si>
  <si>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</si>
  <si>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</si>
  <si>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</si>
  <si>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</si>
  <si>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</si>
  <si>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</si>
  <si>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36.0</t>
  </si>
  <si>
    <t>18.0</t>
  </si>
  <si>
    <t>TRACE</t>
  </si>
  <si>
    <t>3.0</t>
  </si>
  <si>
    <t>37.0</t>
  </si>
  <si>
    <t>4.0</t>
  </si>
  <si>
    <t>22.0</t>
  </si>
  <si>
    <t>1009.0</t>
  </si>
  <si>
    <t>1008.0</t>
  </si>
  <si>
    <t>25.0</t>
  </si>
  <si>
    <t>23.0</t>
  </si>
  <si>
    <t>2026-09-18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</si>
</sst>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F1" workbookViewId="0">
      <selection activeCell="C2" sqref="C2:C25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92</v>
      </c>
      <c r="D2" s="35" t="s">
        <v>79</v>
      </c>
      <c r="E2" s="35" t="s">
        <v>79</v>
      </c>
      <c r="F2" s="35">
        <v>32.299999999999997</v>
      </c>
      <c r="G2" s="35">
        <v>63</v>
      </c>
      <c r="H2" s="35" t="s">
        <v>32</v>
      </c>
      <c r="I2" s="35" t="s">
        <v>55</v>
      </c>
      <c r="J2" s="35" t="s">
        <v>82</v>
      </c>
      <c r="K2" s="35">
        <v>3</v>
      </c>
      <c r="L2" s="35">
        <v>1008.3</v>
      </c>
      <c r="M2" s="35">
        <v>24.9</v>
      </c>
    </row>
    <row r="3" spans="1:15" ht="15.75" customHeight="1" x14ac:dyDescent="0.25">
      <c r="A3" s="3">
        <v>43410</v>
      </c>
      <c r="B3" s="3" t="s">
        <v>8</v>
      </c>
      <c r="C3" s="25" t="s">
        <v>92</v>
      </c>
      <c r="D3" s="35" t="s">
        <v>79</v>
      </c>
      <c r="E3" s="35" t="s">
        <v>79</v>
      </c>
      <c r="F3" s="35">
        <v>35.9</v>
      </c>
      <c r="G3" s="35">
        <v>43</v>
      </c>
      <c r="H3" s="35" t="s">
        <v>32</v>
      </c>
      <c r="I3" s="35" t="s">
        <v>55</v>
      </c>
      <c r="J3" s="35" t="s">
        <v>86</v>
      </c>
      <c r="K3" s="35">
        <v>7</v>
      </c>
      <c r="L3" s="35">
        <v>1007.4</v>
      </c>
      <c r="M3" s="35">
        <v>21.3</v>
      </c>
    </row>
    <row r="4" spans="1:15" ht="15.75" customHeight="1" x14ac:dyDescent="0.25">
      <c r="A4" s="1">
        <v>43413</v>
      </c>
      <c r="B4" s="2" t="s">
        <v>9</v>
      </c>
      <c r="C4" s="25" t="s">
        <v>92</v>
      </c>
      <c r="D4" s="35" t="s">
        <v>79</v>
      </c>
      <c r="E4" s="35" t="s">
        <v>79</v>
      </c>
      <c r="F4" s="35">
        <v>31.3</v>
      </c>
      <c r="G4" s="35">
        <v>71</v>
      </c>
      <c r="H4" s="35" t="s">
        <v>32</v>
      </c>
      <c r="I4" s="35" t="s">
        <v>55</v>
      </c>
      <c r="J4" s="35">
        <v>23.4</v>
      </c>
      <c r="K4" s="35">
        <v>3</v>
      </c>
      <c r="L4" s="35">
        <v>1008.7</v>
      </c>
      <c r="M4" s="35">
        <v>25.7</v>
      </c>
    </row>
    <row r="5" spans="1:15" ht="15.75" customHeight="1" x14ac:dyDescent="0.25">
      <c r="A5" s="1">
        <v>43415</v>
      </c>
      <c r="B5" s="1" t="s">
        <v>10</v>
      </c>
      <c r="C5" s="25" t="s">
        <v>92</v>
      </c>
      <c r="D5" s="35" t="s">
        <v>79</v>
      </c>
      <c r="E5" s="35" t="s">
        <v>79</v>
      </c>
      <c r="F5" s="24" t="s">
        <v>81</v>
      </c>
      <c r="G5" s="3">
        <v>51</v>
      </c>
      <c r="H5" s="3" t="s">
        <v>34</v>
      </c>
      <c r="I5" s="3" t="s">
        <v>55</v>
      </c>
      <c r="J5" s="24">
        <v>5.2</v>
      </c>
      <c r="K5" s="3">
        <v>4</v>
      </c>
      <c r="L5" s="24" t="s">
        <v>88</v>
      </c>
      <c r="M5" s="24">
        <v>24.4</v>
      </c>
    </row>
    <row r="6" spans="1:15" ht="15.75" customHeight="1" x14ac:dyDescent="0.25">
      <c r="A6" s="1">
        <v>43418</v>
      </c>
      <c r="B6" s="2" t="s">
        <v>11</v>
      </c>
      <c r="C6" s="25" t="s">
        <v>92</v>
      </c>
      <c r="D6" s="35" t="s">
        <v>79</v>
      </c>
      <c r="E6" s="35" t="s">
        <v>79</v>
      </c>
      <c r="F6" s="35">
        <v>35.799999999999997</v>
      </c>
      <c r="G6" s="35">
        <v>48</v>
      </c>
      <c r="H6" s="35" t="s">
        <v>32</v>
      </c>
      <c r="I6" s="35" t="s">
        <v>72</v>
      </c>
      <c r="J6" s="35">
        <v>3.2</v>
      </c>
      <c r="K6" s="35">
        <v>6</v>
      </c>
      <c r="L6" s="35">
        <v>1008.2</v>
      </c>
      <c r="M6" s="35">
        <v>23.2</v>
      </c>
    </row>
    <row r="7" spans="1:15" ht="15.75" customHeight="1" x14ac:dyDescent="0.25">
      <c r="A7" s="1">
        <v>43421</v>
      </c>
      <c r="B7" s="2" t="s">
        <v>12</v>
      </c>
      <c r="C7" s="25" t="s">
        <v>92</v>
      </c>
      <c r="D7" s="35" t="s">
        <v>79</v>
      </c>
      <c r="E7" s="35" t="s">
        <v>79</v>
      </c>
      <c r="F7" s="35">
        <v>34.6</v>
      </c>
      <c r="G7" s="35">
        <v>52</v>
      </c>
      <c r="H7" s="35" t="s">
        <v>34</v>
      </c>
      <c r="I7" s="35" t="s">
        <v>57</v>
      </c>
      <c r="J7" s="35">
        <v>11.5</v>
      </c>
      <c r="K7" s="35">
        <v>4</v>
      </c>
      <c r="L7" s="35">
        <v>1008.1</v>
      </c>
      <c r="M7" s="35">
        <v>22.8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92</v>
      </c>
      <c r="D8" s="35" t="s">
        <v>79</v>
      </c>
      <c r="E8" s="35" t="s">
        <v>79</v>
      </c>
      <c r="F8" s="35">
        <v>33.5</v>
      </c>
      <c r="G8" s="35">
        <v>53</v>
      </c>
      <c r="H8" s="35" t="s">
        <v>32</v>
      </c>
      <c r="I8" s="35" t="s">
        <v>55</v>
      </c>
      <c r="J8" s="35">
        <v>7.2</v>
      </c>
      <c r="K8" s="35">
        <v>3</v>
      </c>
      <c r="L8" s="35" t="s">
        <v>89</v>
      </c>
      <c r="M8" s="35">
        <v>22.5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92</v>
      </c>
      <c r="D9" s="35" t="s">
        <v>79</v>
      </c>
      <c r="E9" s="35" t="s">
        <v>79</v>
      </c>
      <c r="F9" s="35">
        <v>32.1</v>
      </c>
      <c r="G9" s="35">
        <v>67</v>
      </c>
      <c r="H9" s="35" t="s">
        <v>32</v>
      </c>
      <c r="I9" s="35" t="s">
        <v>57</v>
      </c>
      <c r="J9" s="35">
        <v>10.1</v>
      </c>
      <c r="K9" s="35">
        <v>5</v>
      </c>
      <c r="L9" s="35">
        <v>1009.4</v>
      </c>
      <c r="M9" s="35" t="s">
        <v>90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92</v>
      </c>
      <c r="D10" s="35">
        <v>1.8</v>
      </c>
      <c r="E10" s="35">
        <v>1.8</v>
      </c>
      <c r="F10" s="35">
        <v>30.2</v>
      </c>
      <c r="G10" s="35">
        <v>83</v>
      </c>
      <c r="H10" s="35" t="s">
        <v>41</v>
      </c>
      <c r="I10" s="35" t="s">
        <v>66</v>
      </c>
      <c r="J10" s="35" t="s">
        <v>79</v>
      </c>
      <c r="K10" s="35">
        <v>7</v>
      </c>
      <c r="L10" s="35">
        <v>1008.1</v>
      </c>
      <c r="M10" s="35">
        <v>26.9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92</v>
      </c>
      <c r="D11" s="35" t="s">
        <v>83</v>
      </c>
      <c r="E11" s="35" t="s">
        <v>83</v>
      </c>
      <c r="F11" s="35">
        <v>31.8</v>
      </c>
      <c r="G11" s="35">
        <v>69</v>
      </c>
      <c r="H11" s="35" t="s">
        <v>34</v>
      </c>
      <c r="I11" s="35" t="s">
        <v>55</v>
      </c>
      <c r="J11" s="35">
        <v>20.2</v>
      </c>
      <c r="K11" s="35">
        <v>4</v>
      </c>
      <c r="L11" s="35">
        <v>1009.3</v>
      </c>
      <c r="M11" s="35">
        <v>25.5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92</v>
      </c>
      <c r="D12" s="35">
        <v>0.1</v>
      </c>
      <c r="E12" s="35">
        <v>0.1</v>
      </c>
      <c r="F12" s="35">
        <v>26.6</v>
      </c>
      <c r="G12" s="35">
        <v>83</v>
      </c>
      <c r="H12" s="35" t="s">
        <v>41</v>
      </c>
      <c r="I12" s="35" t="s">
        <v>57</v>
      </c>
      <c r="J12" s="35">
        <v>11.9</v>
      </c>
      <c r="K12" s="35">
        <v>7</v>
      </c>
      <c r="L12" s="35">
        <v>1009.6</v>
      </c>
      <c r="M12" s="35">
        <v>23.5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92</v>
      </c>
      <c r="D13" s="35" t="s">
        <v>84</v>
      </c>
      <c r="E13" s="35" t="s">
        <v>84</v>
      </c>
      <c r="F13" s="35">
        <v>28.9</v>
      </c>
      <c r="G13" s="35">
        <v>82</v>
      </c>
      <c r="H13" s="35" t="s">
        <v>34</v>
      </c>
      <c r="I13" s="35" t="s">
        <v>55</v>
      </c>
      <c r="J13" s="35">
        <v>19.100000000000001</v>
      </c>
      <c r="K13" s="35">
        <v>5</v>
      </c>
      <c r="L13" s="35">
        <v>1010.4</v>
      </c>
      <c r="M13" s="35">
        <v>25.6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92</v>
      </c>
      <c r="D14" s="35" t="s">
        <v>79</v>
      </c>
      <c r="E14" s="35">
        <v>2.9</v>
      </c>
      <c r="F14" s="35">
        <v>29.5</v>
      </c>
      <c r="G14" s="35">
        <v>82</v>
      </c>
      <c r="H14" s="35" t="s">
        <v>35</v>
      </c>
      <c r="I14" s="35" t="s">
        <v>55</v>
      </c>
      <c r="J14" s="35">
        <v>8.3000000000000007</v>
      </c>
      <c r="K14" s="35">
        <v>7</v>
      </c>
      <c r="L14" s="35">
        <v>1010.9</v>
      </c>
      <c r="M14" s="35">
        <v>26.3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92</v>
      </c>
      <c r="D15" s="35">
        <v>0.3</v>
      </c>
      <c r="E15" s="35">
        <v>0.3</v>
      </c>
      <c r="F15" s="35">
        <v>31.9</v>
      </c>
      <c r="G15" s="35">
        <v>73</v>
      </c>
      <c r="H15" s="35" t="s">
        <v>34</v>
      </c>
      <c r="I15" s="35" t="s">
        <v>55</v>
      </c>
      <c r="J15" s="35">
        <v>12.6</v>
      </c>
      <c r="K15" s="35">
        <v>6</v>
      </c>
      <c r="L15" s="35">
        <v>1010.6</v>
      </c>
      <c r="M15" s="35">
        <v>26.5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92</v>
      </c>
      <c r="D16" s="35" t="s">
        <v>79</v>
      </c>
      <c r="E16" s="35" t="s">
        <v>79</v>
      </c>
      <c r="F16" s="35">
        <v>19.100000000000001</v>
      </c>
      <c r="G16" s="35">
        <v>85</v>
      </c>
      <c r="H16" s="35" t="s">
        <v>35</v>
      </c>
      <c r="I16" s="35" t="s">
        <v>58</v>
      </c>
      <c r="J16" s="35">
        <v>7.9</v>
      </c>
      <c r="K16" s="35">
        <v>8</v>
      </c>
      <c r="L16" s="35" t="s">
        <v>78</v>
      </c>
      <c r="M16" s="35">
        <v>16.5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92</v>
      </c>
      <c r="D17" s="35" t="s">
        <v>79</v>
      </c>
      <c r="E17" s="35" t="s">
        <v>79</v>
      </c>
      <c r="F17" s="35">
        <v>25.8</v>
      </c>
      <c r="G17" s="35">
        <v>75</v>
      </c>
      <c r="H17" s="35" t="s">
        <v>34</v>
      </c>
      <c r="I17" s="35" t="s">
        <v>67</v>
      </c>
      <c r="J17" s="35">
        <v>7.6</v>
      </c>
      <c r="K17" s="35">
        <v>6</v>
      </c>
      <c r="L17" s="35" t="s">
        <v>78</v>
      </c>
      <c r="M17" s="35">
        <v>21.1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92</v>
      </c>
      <c r="D18" s="35" t="s">
        <v>79</v>
      </c>
      <c r="E18" s="35" t="s">
        <v>79</v>
      </c>
      <c r="F18" s="24">
        <v>28.2</v>
      </c>
      <c r="G18" s="3">
        <v>63</v>
      </c>
      <c r="H18" s="3" t="s">
        <v>34</v>
      </c>
      <c r="I18" s="3" t="s">
        <v>74</v>
      </c>
      <c r="J18" s="24">
        <v>3.6</v>
      </c>
      <c r="K18" s="3">
        <v>7</v>
      </c>
      <c r="L18" s="24" t="s">
        <v>78</v>
      </c>
      <c r="M18" s="24">
        <v>20.6</v>
      </c>
    </row>
    <row r="19" spans="1:15" ht="15.75" customHeight="1" x14ac:dyDescent="0.25">
      <c r="A19" s="1">
        <v>43486</v>
      </c>
      <c r="B19" s="2" t="s">
        <v>23</v>
      </c>
      <c r="C19" s="25" t="s">
        <v>92</v>
      </c>
      <c r="D19" s="35" t="s">
        <v>79</v>
      </c>
      <c r="E19" s="35">
        <v>0.2</v>
      </c>
      <c r="F19" s="35">
        <v>30.4</v>
      </c>
      <c r="G19" s="35">
        <v>73</v>
      </c>
      <c r="H19" s="35" t="s">
        <v>47</v>
      </c>
      <c r="I19" s="35" t="s">
        <v>57</v>
      </c>
      <c r="J19" s="35">
        <v>10.8</v>
      </c>
      <c r="K19" s="35">
        <v>7</v>
      </c>
      <c r="L19" s="35">
        <v>1009.2</v>
      </c>
      <c r="M19" s="35">
        <v>24.9</v>
      </c>
    </row>
    <row r="20" spans="1:15" ht="15.75" customHeight="1" x14ac:dyDescent="0.25">
      <c r="A20" s="1">
        <v>43495</v>
      </c>
      <c r="B20" s="2" t="s">
        <v>24</v>
      </c>
      <c r="C20" s="25" t="s">
        <v>92</v>
      </c>
      <c r="D20" s="35" t="s">
        <v>79</v>
      </c>
      <c r="E20" s="35" t="s">
        <v>79</v>
      </c>
      <c r="F20" s="35">
        <v>28.6</v>
      </c>
      <c r="G20" s="35">
        <v>84</v>
      </c>
      <c r="H20" s="35" t="s">
        <v>32</v>
      </c>
      <c r="I20" s="35" t="s">
        <v>55</v>
      </c>
      <c r="J20" s="35" t="s">
        <v>87</v>
      </c>
      <c r="K20" s="35">
        <v>5</v>
      </c>
      <c r="L20" s="35">
        <v>1010.8</v>
      </c>
      <c r="M20" s="35">
        <v>25.7</v>
      </c>
    </row>
    <row r="21" spans="1:15" ht="15.75" customHeight="1" x14ac:dyDescent="0.25">
      <c r="A21" s="1">
        <v>43497</v>
      </c>
      <c r="B21" s="2" t="s">
        <v>25</v>
      </c>
      <c r="C21" s="25" t="s">
        <v>92</v>
      </c>
      <c r="D21" s="35" t="s">
        <v>79</v>
      </c>
      <c r="E21" s="35" t="s">
        <v>79</v>
      </c>
      <c r="F21" s="35">
        <v>29.2</v>
      </c>
      <c r="G21" s="35">
        <v>82</v>
      </c>
      <c r="H21" s="35" t="s">
        <v>32</v>
      </c>
      <c r="I21" s="35" t="s">
        <v>55</v>
      </c>
      <c r="J21" s="35">
        <v>24.1</v>
      </c>
      <c r="K21" s="35">
        <v>4</v>
      </c>
      <c r="L21" s="35">
        <v>1009.6</v>
      </c>
      <c r="M21" s="35">
        <v>25.9</v>
      </c>
    </row>
    <row r="22" spans="1:15" ht="15.75" customHeight="1" x14ac:dyDescent="0.25">
      <c r="A22" s="1">
        <v>43475</v>
      </c>
      <c r="B22" s="2" t="s">
        <v>26</v>
      </c>
      <c r="C22" s="25" t="s">
        <v>92</v>
      </c>
      <c r="D22" s="35" t="s">
        <v>79</v>
      </c>
      <c r="E22" s="35" t="s">
        <v>79</v>
      </c>
      <c r="F22" s="35">
        <v>30.8</v>
      </c>
      <c r="G22" s="35">
        <v>71</v>
      </c>
      <c r="H22" s="35" t="s">
        <v>34</v>
      </c>
      <c r="I22" s="35" t="s">
        <v>72</v>
      </c>
      <c r="J22" s="35">
        <v>16.899999999999999</v>
      </c>
      <c r="K22" s="35">
        <v>7</v>
      </c>
      <c r="L22" s="35" t="s">
        <v>89</v>
      </c>
      <c r="M22" s="35">
        <v>25.7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92</v>
      </c>
      <c r="D23" s="35" t="s">
        <v>79</v>
      </c>
      <c r="E23" s="35">
        <v>3.5</v>
      </c>
      <c r="F23" s="35">
        <v>31.5</v>
      </c>
      <c r="G23" s="35">
        <v>71</v>
      </c>
      <c r="H23" s="35" t="s">
        <v>32</v>
      </c>
      <c r="I23" s="35" t="s">
        <v>55</v>
      </c>
      <c r="J23" s="35">
        <v>19.2</v>
      </c>
      <c r="K23" s="35">
        <v>6</v>
      </c>
      <c r="L23" s="35">
        <v>1009.8</v>
      </c>
      <c r="M23" s="35">
        <v>25.5</v>
      </c>
      <c r="N23" s="24"/>
      <c r="O23" s="24"/>
    </row>
    <row r="24" spans="1:15" ht="15" x14ac:dyDescent="0.25">
      <c r="A24" s="1">
        <v>821501</v>
      </c>
      <c r="B24" s="1" t="s">
        <v>28</v>
      </c>
      <c r="C24" s="25" t="s">
        <v>92</v>
      </c>
      <c r="D24" s="35" t="s">
        <v>79</v>
      </c>
      <c r="E24" s="35" t="s">
        <v>79</v>
      </c>
      <c r="F24" s="35">
        <v>32.799999999999997</v>
      </c>
      <c r="G24" s="35">
        <v>56</v>
      </c>
      <c r="H24" s="35" t="s">
        <v>35</v>
      </c>
      <c r="I24" s="35" t="s">
        <v>66</v>
      </c>
      <c r="J24" s="35" t="s">
        <v>79</v>
      </c>
      <c r="K24" s="35">
        <v>7</v>
      </c>
      <c r="L24" s="35">
        <v>1009.2</v>
      </c>
      <c r="M24" s="35" t="s">
        <v>91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92</v>
      </c>
      <c r="D25" s="35" t="s">
        <v>79</v>
      </c>
      <c r="E25" s="35" t="s">
        <v>79</v>
      </c>
      <c r="F25" s="35" t="s">
        <v>85</v>
      </c>
      <c r="G25" s="35">
        <v>41</v>
      </c>
      <c r="H25" s="35" t="s">
        <v>34</v>
      </c>
      <c r="I25" s="35" t="s">
        <v>61</v>
      </c>
      <c r="J25" s="35">
        <v>12.6</v>
      </c>
      <c r="K25" s="35">
        <v>5</v>
      </c>
      <c r="L25" s="35">
        <v>1007.2</v>
      </c>
      <c r="M25" s="35">
        <v>21.7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0:I10 I5 H2:H12 H1:I1 H13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I5 I10 I1 I13:I25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218</v>
      </c>
      <c r="D2">
        <v>2</v>
      </c>
      <c r="E2" s="3" t="str">
        <f>VLOOKUP(D2,$G$1:$H$19,2,FALSE)</f>
        <v>fairday</v>
      </c>
      <c r="F2" s="3" t="str">
        <f>Sheet4!L1</f>
        <v>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2</v>
      </c>
      <c r="E3" s="3" t="str">
        <f t="shared" ref="E3:E25" si="1">VLOOKUP(D3,$G$1:$H$19,2,FALSE)</f>
        <v>fairday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219</v>
      </c>
      <c r="D4">
        <v>2</v>
      </c>
      <c r="E4" s="3" t="str">
        <f t="shared" si="1"/>
        <v>fairday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6</v>
      </c>
      <c r="E5" s="3" t="str">
        <f t="shared" si="1"/>
        <v>partlycloudy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180</v>
      </c>
      <c r="D6">
        <v>2</v>
      </c>
      <c r="E6" s="3" t="str">
        <f t="shared" si="1"/>
        <v>fairday</v>
      </c>
      <c r="F6" s="3" t="str">
        <f>Sheet4!L5</f>
        <v>S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252</v>
      </c>
      <c r="D7">
        <v>6</v>
      </c>
      <c r="E7" s="3" t="str">
        <f t="shared" si="1"/>
        <v>partlycloudy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235</v>
      </c>
      <c r="D8">
        <v>2</v>
      </c>
      <c r="E8" s="3" t="str">
        <f t="shared" si="1"/>
        <v>fairday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2</v>
      </c>
      <c r="E9" s="3" t="str">
        <f t="shared" si="1"/>
        <v>fairday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12</v>
      </c>
      <c r="E10" s="3" t="str">
        <f t="shared" si="1"/>
        <v>thundershowers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6</v>
      </c>
      <c r="E11" s="3" t="str">
        <f t="shared" si="1"/>
        <v>partlycloudy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250</v>
      </c>
      <c r="D12">
        <v>12</v>
      </c>
      <c r="E12" s="3" t="str">
        <f t="shared" si="1"/>
        <v>thundershowers</v>
      </c>
      <c r="F12" s="3" t="str">
        <f>Sheet4!L11</f>
        <v>WSW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219</v>
      </c>
      <c r="D13">
        <v>6</v>
      </c>
      <c r="E13" s="3" t="str">
        <f t="shared" si="1"/>
        <v>partlycloudy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222</v>
      </c>
      <c r="D14">
        <v>5</v>
      </c>
      <c r="E14" s="3" t="str">
        <f t="shared" si="1"/>
        <v>cloudy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220</v>
      </c>
      <c r="D15">
        <v>6</v>
      </c>
      <c r="E15" s="3" t="str">
        <f t="shared" si="1"/>
        <v>partlycloudy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299</v>
      </c>
      <c r="D16">
        <v>5</v>
      </c>
      <c r="E16" s="3" t="str">
        <f t="shared" si="1"/>
        <v>cloudy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50</v>
      </c>
      <c r="D17">
        <v>6</v>
      </c>
      <c r="E17" s="3" t="str">
        <f t="shared" si="1"/>
        <v>partlycloudy</v>
      </c>
      <c r="F17" s="3" t="str">
        <f>Sheet4!L16</f>
        <v>NE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337</v>
      </c>
      <c r="D18">
        <v>6</v>
      </c>
      <c r="E18" s="3" t="str">
        <f t="shared" si="1"/>
        <v>partlycloudy</v>
      </c>
      <c r="F18" s="3" t="str">
        <f>Sheet4!L17</f>
        <v>NNW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238</v>
      </c>
      <c r="D19">
        <v>10</v>
      </c>
      <c r="E19" s="3" t="str">
        <f t="shared" si="1"/>
        <v>thunderstorms</v>
      </c>
      <c r="F19" s="3" t="str">
        <f>Sheet4!L18</f>
        <v>WSW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228</v>
      </c>
      <c r="D20">
        <v>2</v>
      </c>
      <c r="E20" s="3" t="str">
        <f t="shared" si="1"/>
        <v>fairday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221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189</v>
      </c>
      <c r="D22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220</v>
      </c>
      <c r="D23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2">
        <v>821501</v>
      </c>
      <c r="B24" s="32" t="s">
        <v>28</v>
      </c>
      <c r="C24">
        <v>0</v>
      </c>
      <c r="D24">
        <v>5</v>
      </c>
      <c r="E24" s="3" t="str">
        <f t="shared" si="1"/>
        <v>cloudy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270</v>
      </c>
      <c r="D25">
        <v>6</v>
      </c>
      <c r="E25" s="3" t="str">
        <f t="shared" si="1"/>
        <v>partlycloudy</v>
      </c>
      <c r="F25" s="3" t="str">
        <f>Sheet4!L24</f>
        <v>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218</v>
      </c>
      <c r="L1" t="str">
        <f>VLOOKUP(K1,A$2:B$363,2,FALSE)</f>
        <v>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219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252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235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219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222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299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50</v>
      </c>
      <c r="L16" t="str">
        <f t="shared" si="0"/>
        <v>NE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337</v>
      </c>
      <c r="L17" t="str">
        <f t="shared" si="0"/>
        <v>NNW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238</v>
      </c>
      <c r="L18" t="str">
        <f t="shared" si="0"/>
        <v>WSW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228</v>
      </c>
      <c r="L19" t="str">
        <f t="shared" si="0"/>
        <v>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221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189</v>
      </c>
      <c r="L21" t="str">
        <f t="shared" si="0"/>
        <v>S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220</v>
      </c>
      <c r="L22" t="str">
        <f t="shared" si="0"/>
        <v>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2026-09-18T09:40:36Z</dcterms:modified>
</cp:coreProperties>
</file>