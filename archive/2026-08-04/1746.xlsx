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674634CB-68B1-4848-86CD-9DEA4B89712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<sst xmlns="http://schemas.openxmlformats.org/spreadsheetml/2006/main" count="667" uniqueCount="110">
  <si>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</si>
  <si>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</si>
  <si>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</si>
  <si>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</si>
  <si>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</si>
  <si>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</si>
  <si>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</si>
  <si>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</si>
  <si>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</si>
  <si>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</si>
  <si>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</si>
  <si>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</si>
  <si>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</si>
  <si>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</si>
  <si>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</si>
  <si>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</si>
  <si>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</si>
  <si>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</si>
  <si>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</si>
  <si>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</si>
  <si>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</si>
  <si>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</si>
  <si>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</si>
  <si>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</si>
  <si>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</si>
  <si>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</si>
  <si>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</si>
  <si>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</si>
  <si>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</si>
  <si>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</si>
  <si>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</si>
  <si>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</si>
  <si>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</si>
  <si>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</si>
  <si>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</si>
  <si>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</si>
  <si>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</si>
  <si>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</si>
  <si>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</si>
  <si>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</si>
  <si>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</si>
  <si>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</si>
  <si>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</si>
  <si>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</si>
  <si>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</si>
  <si>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</si>
  <si>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</si>
  <si>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</si>
  <si>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</si>
  <si>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</si>
  <si>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</si>
  <si>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</si>
  <si>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</si>
  <si>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</si>
  <si>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</si>
  <si>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</si>
  <si>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</si>
  <si>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</si>
  <si>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</si>
  <si>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</si>
  <si>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</si>
  <si>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</si>
  <si>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</si>
  <si>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</si>
  <si>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</si>
  <si>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</si>
  <si>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</si>
  <si>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</si>
  <si>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</si>
  <si>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</si>
  <si>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</si>
  <si>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</si>
  <si>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</si>
  <si>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</si>
  <si>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</si>
  <si>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</si>
  <si>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</si>
  <si>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</si>
  <si>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0.4</t>
  </si>
  <si>
    <t>28.0</t>
  </si>
  <si>
    <t>25.0</t>
  </si>
  <si>
    <t>9.0</t>
  </si>
  <si>
    <t>5.0</t>
  </si>
  <si>
    <t>2026-08-04 2030</t>
  </si>
  <si>
    <t>70.1</t>
  </si>
  <si>
    <t>73.0</t>
  </si>
  <si>
    <t>5.2</t>
  </si>
  <si>
    <t>0.7</t>
  </si>
  <si>
    <t>1.1</t>
  </si>
  <si>
    <t>7.7</t>
  </si>
  <si>
    <t>11.2</t>
  </si>
  <si>
    <t>27.0</t>
  </si>
  <si>
    <t>10.4</t>
  </si>
  <si>
    <t>6.0</t>
  </si>
  <si>
    <t>10.1</t>
  </si>
  <si>
    <t>4.4</t>
  </si>
  <si>
    <t>1.6</t>
  </si>
  <si>
    <t>8.6</t>
  </si>
  <si>
    <t>6.5</t>
  </si>
  <si>
    <t>11.5</t>
  </si>
  <si>
    <t>6.1</t>
  </si>
  <si>
    <t>2.9</t>
  </si>
  <si>
    <t>17.6</t>
  </si>
  <si>
    <t>4.0</t>
  </si>
  <si>
    <t>7.2</t>
  </si>
  <si>
    <t>15.1</t>
  </si>
  <si>
    <t>1.4</t>
  </si>
  <si>
    <t>5.8</t>
  </si>
  <si>
    <t>10.0</t>
  </si>
  <si>
    <t>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</si>
</sst>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32" sqref="J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24" t="s">
        <v>77</v>
      </c>
      <c r="E2" s="24" t="s">
        <v>77</v>
      </c>
      <c r="F2" s="24">
        <v>29.4</v>
      </c>
      <c r="G2" s="3">
        <v>78</v>
      </c>
      <c r="H2" s="3" t="s">
        <v>38</v>
      </c>
      <c r="I2" s="3" t="s">
        <v>72</v>
      </c>
      <c r="J2" s="24" t="s">
        <v>92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24" t="s">
        <v>76</v>
      </c>
      <c r="E3" s="24" t="s">
        <v>76</v>
      </c>
      <c r="F3" s="24">
        <v>27.7</v>
      </c>
      <c r="G3" s="3">
        <v>83</v>
      </c>
      <c r="H3" s="3" t="s">
        <v>38</v>
      </c>
      <c r="I3" s="3" t="s">
        <v>55</v>
      </c>
      <c r="J3" s="24" t="s">
        <v>93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24" t="s">
        <v>77</v>
      </c>
      <c r="E4" s="24" t="s">
        <v>77</v>
      </c>
      <c r="F4" s="24">
        <v>28.3</v>
      </c>
      <c r="G4" s="3">
        <v>85</v>
      </c>
      <c r="H4" s="3" t="s">
        <v>35</v>
      </c>
      <c r="I4" s="3" t="s">
        <v>56</v>
      </c>
      <c r="J4" s="24" t="s">
        <v>94</v>
      </c>
      <c r="M4" s="3"/>
    </row>
    <row r="5" spans="1:15" ht="15.75" customHeight="1" x14ac:dyDescent="0.25">
      <c r="A5" s="1">
        <v>43415</v>
      </c>
      <c r="B5" s="1" t="s">
        <v>10</v>
      </c>
      <c r="C5" s="26" t="s">
        <v>83</v>
      </c>
      <c r="D5" s="24" t="s">
        <v>77</v>
      </c>
      <c r="E5" s="24" t="s">
        <v>77</v>
      </c>
      <c r="F5" s="24">
        <v>27.8</v>
      </c>
      <c r="G5" s="3">
        <v>79</v>
      </c>
      <c r="H5" s="3" t="s">
        <v>35</v>
      </c>
      <c r="I5" s="3" t="s">
        <v>55</v>
      </c>
      <c r="J5" s="24" t="s">
        <v>95</v>
      </c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3" t="s">
        <v>76</v>
      </c>
      <c r="E6" s="3" t="s">
        <v>76</v>
      </c>
      <c r="F6" s="24">
        <v>25.5</v>
      </c>
      <c r="G6" s="3">
        <v>87</v>
      </c>
      <c r="H6" s="3" t="s">
        <v>45</v>
      </c>
      <c r="I6" s="3" t="s">
        <v>72</v>
      </c>
      <c r="J6" s="24" t="s">
        <v>96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24" t="s">
        <v>77</v>
      </c>
      <c r="E7" s="24" t="s">
        <v>77</v>
      </c>
      <c r="F7" s="24" t="s">
        <v>79</v>
      </c>
      <c r="G7" s="3">
        <v>78</v>
      </c>
      <c r="H7" s="3" t="s">
        <v>36</v>
      </c>
      <c r="I7" s="3" t="s">
        <v>55</v>
      </c>
      <c r="J7" s="24" t="s">
        <v>97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24" t="s">
        <v>77</v>
      </c>
      <c r="E8" s="24" t="s">
        <v>77</v>
      </c>
      <c r="F8" s="24" t="s">
        <v>91</v>
      </c>
      <c r="G8" s="3">
        <v>81</v>
      </c>
      <c r="H8" s="3" t="s">
        <v>38</v>
      </c>
      <c r="I8" s="3" t="s">
        <v>56</v>
      </c>
      <c r="J8" s="24" t="s">
        <v>98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24" t="s">
        <v>77</v>
      </c>
      <c r="E9" s="24" t="s">
        <v>77</v>
      </c>
      <c r="F9" s="24">
        <v>28.1</v>
      </c>
      <c r="G9" s="3">
        <v>77</v>
      </c>
      <c r="H9" s="3" t="s">
        <v>36</v>
      </c>
      <c r="I9" s="3" t="s">
        <v>57</v>
      </c>
      <c r="J9" s="24" t="s">
        <v>82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83</v>
      </c>
      <c r="D10" s="24" t="s">
        <v>84</v>
      </c>
      <c r="E10" s="24" t="s">
        <v>85</v>
      </c>
      <c r="F10" s="24">
        <v>26.2</v>
      </c>
      <c r="G10" s="3">
        <v>97</v>
      </c>
      <c r="H10" s="3" t="s">
        <v>44</v>
      </c>
      <c r="I10" s="3" t="s">
        <v>67</v>
      </c>
      <c r="J10" s="24" t="s">
        <v>99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83</v>
      </c>
      <c r="D11" s="24" t="s">
        <v>77</v>
      </c>
      <c r="E11" s="24">
        <v>1.1000000000000001</v>
      </c>
      <c r="F11" s="24">
        <v>26.5</v>
      </c>
      <c r="G11" s="3">
        <v>84</v>
      </c>
      <c r="H11" s="3" t="s">
        <v>36</v>
      </c>
      <c r="I11" s="3" t="s">
        <v>56</v>
      </c>
      <c r="J11" s="24" t="s">
        <v>100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83</v>
      </c>
      <c r="D12" s="24" t="s">
        <v>87</v>
      </c>
      <c r="E12" s="24" t="s">
        <v>86</v>
      </c>
      <c r="F12" s="24">
        <v>23.1</v>
      </c>
      <c r="G12" s="3">
        <v>95</v>
      </c>
      <c r="H12" s="3" t="s">
        <v>45</v>
      </c>
      <c r="I12" s="3" t="s">
        <v>71</v>
      </c>
      <c r="J12" s="24" t="s">
        <v>101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83</v>
      </c>
      <c r="D13" s="24" t="s">
        <v>77</v>
      </c>
      <c r="E13" s="24" t="s">
        <v>77</v>
      </c>
      <c r="F13" s="24" t="s">
        <v>79</v>
      </c>
      <c r="G13" s="3">
        <v>82</v>
      </c>
      <c r="H13" s="3" t="s">
        <v>36</v>
      </c>
      <c r="I13" s="3" t="s">
        <v>55</v>
      </c>
      <c r="J13" s="24" t="s">
        <v>102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83</v>
      </c>
      <c r="D14" s="24" t="s">
        <v>77</v>
      </c>
      <c r="E14" s="24" t="s">
        <v>77</v>
      </c>
      <c r="F14" s="24">
        <v>28.3</v>
      </c>
      <c r="G14" s="3">
        <v>83</v>
      </c>
      <c r="H14" s="3" t="s">
        <v>35</v>
      </c>
      <c r="I14" s="3" t="s">
        <v>57</v>
      </c>
      <c r="J14" s="24" t="s">
        <v>103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83</v>
      </c>
      <c r="D15" s="24" t="s">
        <v>77</v>
      </c>
      <c r="E15" s="24" t="s">
        <v>77</v>
      </c>
      <c r="F15" s="24">
        <v>28.5</v>
      </c>
      <c r="G15" s="3">
        <v>83</v>
      </c>
      <c r="H15" s="3" t="s">
        <v>35</v>
      </c>
      <c r="I15" s="3" t="s">
        <v>57</v>
      </c>
      <c r="J15" s="24" t="s">
        <v>104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24" t="s">
        <v>88</v>
      </c>
      <c r="E16" s="24" t="s">
        <v>89</v>
      </c>
      <c r="F16" s="24">
        <v>15.3</v>
      </c>
      <c r="G16" s="3">
        <v>96</v>
      </c>
      <c r="H16" s="3" t="s">
        <v>35</v>
      </c>
      <c r="I16" s="3" t="s">
        <v>58</v>
      </c>
      <c r="J16" s="24" t="s">
        <v>105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83</v>
      </c>
      <c r="D17" s="24" t="s">
        <v>77</v>
      </c>
      <c r="E17" s="24" t="s">
        <v>77</v>
      </c>
      <c r="F17" s="24">
        <v>20.2</v>
      </c>
      <c r="G17" s="3">
        <v>85</v>
      </c>
      <c r="H17" s="3" t="s">
        <v>36</v>
      </c>
      <c r="I17" s="3" t="s">
        <v>58</v>
      </c>
      <c r="J17" s="24" t="s">
        <v>81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24" t="s">
        <v>77</v>
      </c>
      <c r="E18" s="24" t="s">
        <v>77</v>
      </c>
      <c r="F18" s="24">
        <v>22.8</v>
      </c>
      <c r="G18" s="3">
        <v>84</v>
      </c>
      <c r="H18" s="3" t="s">
        <v>36</v>
      </c>
      <c r="I18" s="3" t="s">
        <v>74</v>
      </c>
      <c r="J18" s="24" t="s">
        <v>106</v>
      </c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24" t="s">
        <v>78</v>
      </c>
      <c r="E19" s="24" t="s">
        <v>90</v>
      </c>
      <c r="F19" s="24" t="s">
        <v>80</v>
      </c>
      <c r="G19" s="3">
        <v>97</v>
      </c>
      <c r="H19" s="3" t="s">
        <v>45</v>
      </c>
      <c r="I19" s="3" t="s">
        <v>68</v>
      </c>
      <c r="J19" s="24" t="s">
        <v>98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83</v>
      </c>
      <c r="D20" s="24" t="s">
        <v>77</v>
      </c>
      <c r="E20" s="24">
        <v>0.4</v>
      </c>
      <c r="F20" s="24">
        <v>27.4</v>
      </c>
      <c r="G20" s="3">
        <v>89</v>
      </c>
      <c r="H20" s="3" t="s">
        <v>36</v>
      </c>
      <c r="I20" s="3" t="s">
        <v>61</v>
      </c>
      <c r="J20" s="24" t="s">
        <v>99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83</v>
      </c>
      <c r="D21" s="24" t="s">
        <v>77</v>
      </c>
      <c r="E21" s="24" t="s">
        <v>77</v>
      </c>
      <c r="F21" s="24">
        <v>26.4</v>
      </c>
      <c r="G21" s="3">
        <v>88</v>
      </c>
      <c r="H21" s="3" t="s">
        <v>36</v>
      </c>
      <c r="I21" s="3" t="s">
        <v>57</v>
      </c>
      <c r="J21" s="24" t="s">
        <v>107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24" t="s">
        <v>77</v>
      </c>
      <c r="E22" s="24" t="s">
        <v>77</v>
      </c>
      <c r="F22" s="24">
        <v>28.8</v>
      </c>
      <c r="G22" s="3">
        <v>85</v>
      </c>
      <c r="H22" s="3" t="s">
        <v>38</v>
      </c>
      <c r="I22" s="3" t="s">
        <v>68</v>
      </c>
      <c r="J22" s="24" t="s">
        <v>107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83</v>
      </c>
      <c r="D23" s="24" t="s">
        <v>77</v>
      </c>
      <c r="E23" s="24" t="s">
        <v>77</v>
      </c>
      <c r="F23" s="24">
        <v>27.2</v>
      </c>
      <c r="G23" s="3">
        <v>79</v>
      </c>
      <c r="H23" s="3" t="s">
        <v>38</v>
      </c>
      <c r="I23" s="3" t="s">
        <v>57</v>
      </c>
      <c r="J23" s="24" t="s">
        <v>108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24" t="s">
        <v>77</v>
      </c>
      <c r="E24" s="24" t="s">
        <v>76</v>
      </c>
      <c r="F24" s="24">
        <v>25.3</v>
      </c>
      <c r="G24" s="3">
        <v>89</v>
      </c>
      <c r="H24" s="3" t="s">
        <v>38</v>
      </c>
      <c r="I24" s="3" t="s">
        <v>66</v>
      </c>
      <c r="J24" s="24" t="s">
        <v>77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24" t="s">
        <v>77</v>
      </c>
      <c r="E25" s="24" t="s">
        <v>76</v>
      </c>
      <c r="F25" s="24">
        <v>28.5</v>
      </c>
      <c r="G25" s="3">
        <v>68</v>
      </c>
      <c r="H25" s="3" t="s">
        <v>35</v>
      </c>
      <c r="I25" s="3" t="s">
        <v>61</v>
      </c>
      <c r="J25" s="24" t="s">
        <v>109</v>
      </c>
      <c r="K25" s="24"/>
      <c r="N25" s="24"/>
      <c r="O25" s="24"/>
    </row>
  </sheetData>
  <sortState xmlns:xlrd2="http://schemas.microsoft.com/office/spreadsheetml/2017/richdata2" ref="A4:O25">
    <sortCondition ref="A4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189</v>
      </c>
      <c r="D2" s="25">
        <v>13</v>
      </c>
      <c r="E2" s="3" t="str">
        <f>VLOOKUP(D2,$G$1:$H$19,2,FALSE)</f>
        <v>fairnight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207</v>
      </c>
      <c r="D4" s="25">
        <v>5</v>
      </c>
      <c r="E4" s="3" t="str">
        <f t="shared" si="1"/>
        <v>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11</v>
      </c>
      <c r="E6" s="3" t="str">
        <f t="shared" si="1"/>
        <v>showers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227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212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1</v>
      </c>
      <c r="E10" s="3" t="str">
        <f t="shared" si="1"/>
        <v>rain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130</v>
      </c>
      <c r="D12" s="25">
        <v>11</v>
      </c>
      <c r="E12" s="3" t="str">
        <f t="shared" si="1"/>
        <v>showers</v>
      </c>
      <c r="F12" s="3" t="str">
        <f>Sheet4!L11</f>
        <v>SE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16</v>
      </c>
      <c r="E13" s="3" t="str">
        <f t="shared" si="1"/>
        <v>partlycloudynight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244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292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16</v>
      </c>
      <c r="E17" s="3" t="str">
        <f t="shared" si="1"/>
        <v>partlycloudynight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338</v>
      </c>
      <c r="D18" s="25">
        <v>16</v>
      </c>
      <c r="E18" s="3" t="str">
        <f t="shared" si="1"/>
        <v>partlycloudynight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13</v>
      </c>
      <c r="D19" s="25">
        <v>11</v>
      </c>
      <c r="E19" s="3" t="str">
        <f t="shared" si="1"/>
        <v>showers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16</v>
      </c>
      <c r="E20" s="3" t="str">
        <f t="shared" si="1"/>
        <v>partlycloudynight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240</v>
      </c>
      <c r="D21" s="25">
        <v>16</v>
      </c>
      <c r="E21" s="3" t="str">
        <f t="shared" si="1"/>
        <v>partlycloudynight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32</v>
      </c>
      <c r="D22" s="25">
        <v>13</v>
      </c>
      <c r="E22" s="3" t="str">
        <f t="shared" si="1"/>
        <v>fairnight</v>
      </c>
      <c r="F22" s="3" t="str">
        <f>Sheet4!L21</f>
        <v>NNE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189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207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212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130</v>
      </c>
      <c r="L11" t="str">
        <f t="shared" si="0"/>
        <v>SE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244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338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13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32</v>
      </c>
      <c r="L21" t="str">
        <f t="shared" si="0"/>
        <v>NNE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2026-08-04T15:28:32Z</dcterms:modified>
</cp:coreProperties>
</file>