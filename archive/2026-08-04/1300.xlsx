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DE20A64-DC62-4441-A2E9-A2EBF4F037E9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Sheet1!$A$7:$M$7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<sst xmlns="http://schemas.openxmlformats.org/spreadsheetml/2006/main" count="653" uniqueCount="96">
  <si>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</si>
  <si>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</si>
  <si>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</si>
  <si>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</si>
  <si>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</si>
  <si>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</si>
  <si>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</si>
  <si>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</si>
  <si>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</si>
  <si>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</si>
  <si>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</si>
  <si>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</si>
  <si>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</si>
  <si>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</si>
  <si>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</si>
  <si>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</si>
  <si>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</si>
  <si>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</si>
  <si>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</si>
  <si>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</si>
  <si>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</si>
  <si>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</si>
  <si>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</si>
  <si>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</si>
  <si>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</si>
  <si>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</si>
  <si>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</si>
  <si>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</si>
  <si>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</si>
  <si>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</si>
  <si>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</si>
  <si>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</si>
  <si>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</si>
  <si>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</si>
  <si>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</si>
  <si>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</si>
  <si>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</si>
  <si>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</si>
  <si>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</si>
  <si>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</si>
  <si>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</si>
  <si>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</si>
  <si>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</si>
  <si>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</si>
  <si>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</si>
  <si>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</si>
  <si>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</si>
  <si>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</si>
  <si>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</si>
  <si>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</si>
  <si>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</si>
  <si>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</si>
  <si>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</si>
  <si>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</si>
  <si>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</si>
  <si>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</si>
  <si>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</si>
  <si>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</si>
  <si>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</si>
  <si>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</si>
  <si>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</si>
  <si>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</si>
  <si>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</si>
  <si>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</si>
  <si>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</si>
  <si>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</si>
  <si>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</si>
  <si>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</si>
  <si>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</si>
  <si>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</si>
  <si>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</si>
  <si>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</si>
  <si>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</si>
  <si>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</si>
  <si>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</si>
  <si>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</si>
  <si>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</si>
  <si>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</si>
  <si>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2026-08-04 1730</t>
  </si>
  <si>
    <t>0.4</t>
  </si>
  <si>
    <t>8.4</t>
  </si>
  <si>
    <t>0.8</t>
  </si>
  <si>
    <t>29.0</t>
  </si>
  <si>
    <t>28.0</t>
  </si>
  <si>
    <t>22.0</t>
  </si>
  <si>
    <t>25.0</t>
  </si>
  <si>
    <t>9.0</t>
  </si>
  <si>
    <t>5.0</t>
  </si>
  <si>
    <t>18.0</t>
  </si>
  <si>
    <t>20.2</t>
  </si>
  <si>
    <t>4.3</t>
  </si>
  <si>
    <t>14.8</t>
  </si>
  <si>
    <t>2.2</t>
  </si>
  <si>
    <t>2.5</t>
  </si>
  <si>
    <t>8.3</t>
  </si>
  <si>
    <t>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</si>
</sst>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30" sqref="M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31.4</v>
      </c>
      <c r="G2" s="3">
        <v>67</v>
      </c>
      <c r="H2" s="3" t="s">
        <v>35</v>
      </c>
      <c r="I2" s="3" t="s">
        <v>56</v>
      </c>
      <c r="J2" s="24">
        <v>7.2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76</v>
      </c>
      <c r="E3" s="24" t="s">
        <v>76</v>
      </c>
      <c r="F3" s="24">
        <v>29.4</v>
      </c>
      <c r="G3" s="3">
        <v>73</v>
      </c>
      <c r="H3" s="3" t="s">
        <v>35</v>
      </c>
      <c r="I3" s="3" t="s">
        <v>66</v>
      </c>
      <c r="J3" s="24" t="s">
        <v>77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>
        <v>29.1</v>
      </c>
      <c r="G4" s="3">
        <v>81</v>
      </c>
      <c r="H4" s="3" t="s">
        <v>35</v>
      </c>
      <c r="I4" s="3" t="s">
        <v>55</v>
      </c>
      <c r="J4" s="24">
        <v>13.7</v>
      </c>
      <c r="M4" s="3"/>
    </row>
    <row r="5" spans="1:15" ht="15.75" customHeight="1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>
        <v>28.4</v>
      </c>
      <c r="G5" s="3">
        <v>75</v>
      </c>
      <c r="H5" s="3" t="s">
        <v>35</v>
      </c>
      <c r="I5" s="3" t="s">
        <v>66</v>
      </c>
      <c r="J5" s="24" t="s">
        <v>77</v>
      </c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27.4</v>
      </c>
      <c r="G6" s="3">
        <v>78</v>
      </c>
      <c r="H6" s="3" t="s">
        <v>35</v>
      </c>
      <c r="I6" s="3" t="s">
        <v>72</v>
      </c>
      <c r="J6" s="24">
        <v>3.4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>
        <v>30.4</v>
      </c>
      <c r="G7" s="3">
        <v>66</v>
      </c>
      <c r="H7" s="3" t="s">
        <v>35</v>
      </c>
      <c r="I7" s="3" t="s">
        <v>55</v>
      </c>
      <c r="J7" s="24" t="s">
        <v>86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>
        <v>29.4</v>
      </c>
      <c r="G8" s="3">
        <v>71</v>
      </c>
      <c r="H8" s="3" t="s">
        <v>35</v>
      </c>
      <c r="I8" s="3" t="s">
        <v>55</v>
      </c>
      <c r="J8" s="24" t="s">
        <v>87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 t="s">
        <v>82</v>
      </c>
      <c r="G9" s="3">
        <v>78</v>
      </c>
      <c r="H9" s="3" t="s">
        <v>35</v>
      </c>
      <c r="I9" s="3" t="s">
        <v>55</v>
      </c>
      <c r="J9" s="24">
        <v>5.4</v>
      </c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>
        <v>2.9</v>
      </c>
      <c r="F10" s="24">
        <v>28.5</v>
      </c>
      <c r="G10" s="3">
        <v>85</v>
      </c>
      <c r="H10" s="3" t="s">
        <v>45</v>
      </c>
      <c r="I10" s="3" t="s">
        <v>73</v>
      </c>
      <c r="J10" s="24" t="s">
        <v>88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>
        <v>1.1000000000000001</v>
      </c>
      <c r="F11" s="24" t="s">
        <v>83</v>
      </c>
      <c r="G11" s="3">
        <v>77</v>
      </c>
      <c r="H11" s="3" t="s">
        <v>45</v>
      </c>
      <c r="I11" s="3" t="s">
        <v>55</v>
      </c>
      <c r="J11" s="24">
        <v>9.4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81</v>
      </c>
      <c r="E12" s="24">
        <v>4.5</v>
      </c>
      <c r="F12" s="24">
        <v>24.1</v>
      </c>
      <c r="G12" s="3">
        <v>90</v>
      </c>
      <c r="H12" s="3" t="s">
        <v>35</v>
      </c>
      <c r="I12" s="3" t="s">
        <v>55</v>
      </c>
      <c r="J12" s="24">
        <v>9.4</v>
      </c>
      <c r="M12" s="3"/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>
        <v>28.9</v>
      </c>
      <c r="G13" s="3">
        <v>79</v>
      </c>
      <c r="H13" s="3" t="s">
        <v>35</v>
      </c>
      <c r="I13" s="3" t="s">
        <v>55</v>
      </c>
      <c r="J13" s="24" t="s">
        <v>89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78</v>
      </c>
      <c r="D14" s="24" t="s">
        <v>77</v>
      </c>
      <c r="E14" s="24" t="s">
        <v>77</v>
      </c>
      <c r="F14" s="24">
        <v>28.9</v>
      </c>
      <c r="G14" s="3">
        <v>81</v>
      </c>
      <c r="H14" s="3" t="s">
        <v>35</v>
      </c>
      <c r="I14" s="3" t="s">
        <v>57</v>
      </c>
      <c r="J14" s="24" t="s">
        <v>90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 t="s">
        <v>77</v>
      </c>
      <c r="F15" s="24">
        <v>29.2</v>
      </c>
      <c r="G15" s="3">
        <v>81</v>
      </c>
      <c r="H15" s="3" t="s">
        <v>35</v>
      </c>
      <c r="I15" s="3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78</v>
      </c>
      <c r="D16" s="24" t="s">
        <v>79</v>
      </c>
      <c r="E16" s="24">
        <v>6.6</v>
      </c>
      <c r="F16" s="24">
        <v>15.5</v>
      </c>
      <c r="G16" s="3">
        <v>99</v>
      </c>
      <c r="H16" s="3" t="s">
        <v>37</v>
      </c>
      <c r="I16" s="3" t="s">
        <v>58</v>
      </c>
      <c r="J16" s="24" t="s">
        <v>91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 t="s">
        <v>77</v>
      </c>
      <c r="F17" s="24" t="s">
        <v>84</v>
      </c>
      <c r="G17" s="3">
        <v>79</v>
      </c>
      <c r="H17" s="3" t="s">
        <v>35</v>
      </c>
      <c r="I17" s="3" t="s">
        <v>58</v>
      </c>
      <c r="J17" s="24">
        <v>8.6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 t="s">
        <v>77</v>
      </c>
      <c r="F18" s="24">
        <v>24.8</v>
      </c>
      <c r="G18" s="3">
        <v>76</v>
      </c>
      <c r="H18" s="3" t="s">
        <v>35</v>
      </c>
      <c r="I18" s="3" t="s">
        <v>74</v>
      </c>
      <c r="J18" s="24" t="s">
        <v>92</v>
      </c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80</v>
      </c>
      <c r="E19" s="24">
        <v>10.8</v>
      </c>
      <c r="F19" s="24" t="s">
        <v>85</v>
      </c>
      <c r="G19" s="3">
        <v>96</v>
      </c>
      <c r="H19" s="3" t="s">
        <v>45</v>
      </c>
      <c r="I19" s="3" t="s">
        <v>59</v>
      </c>
      <c r="J19" s="24" t="s">
        <v>93</v>
      </c>
      <c r="M19" s="3"/>
    </row>
    <row r="20" spans="1:15" ht="16.5" customHeight="1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>
        <v>0.4</v>
      </c>
      <c r="F20" s="24">
        <v>27.5</v>
      </c>
      <c r="G20" s="3">
        <v>88</v>
      </c>
      <c r="H20" s="3" t="s">
        <v>35</v>
      </c>
      <c r="I20" s="3" t="s">
        <v>61</v>
      </c>
      <c r="J20" s="24">
        <v>9.6999999999999993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78</v>
      </c>
      <c r="D21" s="24" t="s">
        <v>77</v>
      </c>
      <c r="E21" s="24" t="s">
        <v>77</v>
      </c>
      <c r="F21" s="24">
        <v>27.4</v>
      </c>
      <c r="G21" s="3">
        <v>81</v>
      </c>
      <c r="H21" s="3" t="s">
        <v>33</v>
      </c>
      <c r="I21" s="3" t="s">
        <v>57</v>
      </c>
      <c r="J21" s="24" t="s">
        <v>94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30.9</v>
      </c>
      <c r="G22" s="3">
        <v>78</v>
      </c>
      <c r="H22" s="3" t="s">
        <v>35</v>
      </c>
      <c r="I22" s="3" t="s">
        <v>62</v>
      </c>
      <c r="J22" s="24" t="s">
        <v>95</v>
      </c>
      <c r="K22" s="24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29.3</v>
      </c>
      <c r="G23" s="3">
        <v>67</v>
      </c>
      <c r="H23" s="3" t="s">
        <v>35</v>
      </c>
      <c r="I23" s="3" t="s">
        <v>61</v>
      </c>
      <c r="J23" s="24" t="s">
        <v>88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76</v>
      </c>
      <c r="E24" s="24" t="s">
        <v>76</v>
      </c>
      <c r="F24" s="24">
        <v>27.3</v>
      </c>
      <c r="G24" s="3">
        <v>75</v>
      </c>
      <c r="H24" s="3" t="s">
        <v>35</v>
      </c>
      <c r="I24" s="3" t="s">
        <v>66</v>
      </c>
      <c r="J24" s="24" t="s">
        <v>77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76</v>
      </c>
      <c r="F25" s="24">
        <v>30.8</v>
      </c>
      <c r="G25" s="3">
        <v>60</v>
      </c>
      <c r="H25" s="3" t="s">
        <v>35</v>
      </c>
      <c r="I25" s="3" t="s">
        <v>61</v>
      </c>
      <c r="J25" s="24">
        <v>15.1</v>
      </c>
      <c r="K25" s="24"/>
      <c r="N25" s="24"/>
      <c r="O25" s="24"/>
    </row>
  </sheetData>
  <sortState xmlns:xlrd2="http://schemas.microsoft.com/office/spreadsheetml/2017/richdata2" ref="A4:O25">
    <sortCondition ref="A4:A25"/>
  </sortState>
  <phoneticPr fontId="2" type="noConversion"/>
  <dataValidations count="1">
    <dataValidation type="list" allowBlank="1" showInputMessage="1" showErrorMessage="1" sqref="H1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</v>
      </c>
      <c r="D2" s="25">
        <v>5</v>
      </c>
      <c r="E2" s="3" t="str">
        <f>VLOOKUP(D2,$G$1:$H$19,2,FALSE)</f>
        <v>cloudy</v>
      </c>
      <c r="F2" s="3" t="str">
        <f>Sheet4!L1</f>
        <v>N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</v>
      </c>
      <c r="D3" s="25">
        <v>5</v>
      </c>
      <c r="E3" s="3" t="str">
        <f t="shared" ref="E3:E25" si="1">VLOOKUP(D3,$G$1:$H$19,2,FALSE)</f>
        <v>cloudy</v>
      </c>
      <c r="F3" s="3" t="str">
        <f>Sheet4!L2</f>
        <v>N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</v>
      </c>
      <c r="D4" s="25">
        <v>5</v>
      </c>
      <c r="E4" s="3" t="str">
        <f t="shared" si="1"/>
        <v>cloudy</v>
      </c>
      <c r="F4" s="3" t="str">
        <f>Sheet4!L3</f>
        <v>N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</v>
      </c>
      <c r="D5" s="25">
        <v>5</v>
      </c>
      <c r="E5" s="3" t="str">
        <f t="shared" si="1"/>
        <v>cloudy</v>
      </c>
      <c r="F5" s="3" t="str">
        <f>Sheet4!L4</f>
        <v>N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</v>
      </c>
      <c r="D6" s="25">
        <v>5</v>
      </c>
      <c r="E6" s="3" t="str">
        <f t="shared" si="1"/>
        <v>cloudy</v>
      </c>
      <c r="F6" s="3" t="str">
        <f>Sheet4!L5</f>
        <v>N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3</v>
      </c>
      <c r="D7" s="25">
        <v>5</v>
      </c>
      <c r="E7" s="3" t="str">
        <f t="shared" si="1"/>
        <v>cloudy</v>
      </c>
      <c r="F7" s="3" t="str">
        <f>Sheet4!L6</f>
        <v>N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3</v>
      </c>
      <c r="D8" s="25">
        <v>5</v>
      </c>
      <c r="E8" s="3" t="str">
        <f t="shared" si="1"/>
        <v>cloudy</v>
      </c>
      <c r="F8" s="3" t="str">
        <f>Sheet4!L7</f>
        <v>N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/>
      <c r="D9" s="25">
        <v>5</v>
      </c>
      <c r="E9" s="3" t="str">
        <f t="shared" si="1"/>
        <v>cloudy</v>
      </c>
      <c r="F9" s="3" t="str">
        <f>Sheet4!L8</f>
        <v>CALM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80</v>
      </c>
      <c r="D10" s="25">
        <v>11</v>
      </c>
      <c r="E10" s="3" t="str">
        <f t="shared" si="1"/>
        <v>showers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</v>
      </c>
      <c r="D11" s="25">
        <v>11</v>
      </c>
      <c r="E11" s="3" t="str">
        <f t="shared" si="1"/>
        <v>showers</v>
      </c>
      <c r="F11" s="3" t="str">
        <f>Sheet4!L10</f>
        <v>NNE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</v>
      </c>
      <c r="D12" s="25">
        <v>5</v>
      </c>
      <c r="E12" s="3" t="str">
        <f t="shared" si="1"/>
        <v>cloudy</v>
      </c>
      <c r="F12" s="3" t="str">
        <f>Sheet4!L11</f>
        <v>N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1</v>
      </c>
      <c r="D13" s="25">
        <v>5</v>
      </c>
      <c r="E13" s="3" t="str">
        <f t="shared" si="1"/>
        <v>cloudy</v>
      </c>
      <c r="F13" s="3" t="str">
        <f>Sheet4!L12</f>
        <v>N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</v>
      </c>
      <c r="D14" s="25">
        <v>5</v>
      </c>
      <c r="E14" s="3" t="str">
        <f t="shared" si="1"/>
        <v>cloudy</v>
      </c>
      <c r="F14" s="3" t="str">
        <f>Sheet4!L13</f>
        <v>N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</v>
      </c>
      <c r="D15" s="25">
        <v>5</v>
      </c>
      <c r="E15" s="3" t="str">
        <f t="shared" si="1"/>
        <v>cloudy</v>
      </c>
      <c r="F15" s="3" t="str">
        <f>Sheet4!L14</f>
        <v>N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50</v>
      </c>
      <c r="D16" s="25">
        <v>4</v>
      </c>
      <c r="E16" s="3" t="str">
        <f t="shared" si="1"/>
        <v>drizzling</v>
      </c>
      <c r="F16" s="3" t="str">
        <f>Sheet4!L15</f>
        <v>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</v>
      </c>
      <c r="D17" s="25">
        <v>5</v>
      </c>
      <c r="E17" s="3" t="str">
        <f t="shared" si="1"/>
        <v>cloudy</v>
      </c>
      <c r="F17" s="3" t="str">
        <f>Sheet4!L16</f>
        <v>N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</v>
      </c>
      <c r="D18" s="25">
        <v>5</v>
      </c>
      <c r="E18" s="3" t="str">
        <f t="shared" si="1"/>
        <v>cloudy</v>
      </c>
      <c r="F18" s="3" t="str">
        <f>Sheet4!L17</f>
        <v>N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25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</v>
      </c>
      <c r="D20" s="25">
        <v>5</v>
      </c>
      <c r="E20" s="3" t="str">
        <f t="shared" si="1"/>
        <v>cloudy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5</v>
      </c>
      <c r="D21" s="25">
        <v>9</v>
      </c>
      <c r="E21" s="3" t="str">
        <f t="shared" si="1"/>
        <v>haze</v>
      </c>
      <c r="F21" s="3" t="str">
        <f>Sheet4!L20</f>
        <v>N</v>
      </c>
    </row>
    <row r="22" spans="1:14" x14ac:dyDescent="0.25">
      <c r="A22" s="36">
        <v>43475</v>
      </c>
      <c r="B22" s="38" t="s">
        <v>26</v>
      </c>
      <c r="C22" s="33">
        <v>1</v>
      </c>
      <c r="D22" s="25">
        <v>5</v>
      </c>
      <c r="E22" s="3" t="str">
        <f t="shared" si="1"/>
        <v>cloudy</v>
      </c>
      <c r="F22" s="3" t="str">
        <f>Sheet4!L21</f>
        <v>N</v>
      </c>
    </row>
    <row r="23" spans="1:14" x14ac:dyDescent="0.25">
      <c r="A23" s="36">
        <v>330601</v>
      </c>
      <c r="B23" s="38" t="s">
        <v>27</v>
      </c>
      <c r="C23" s="33">
        <v>2</v>
      </c>
      <c r="D23" s="25">
        <v>5</v>
      </c>
      <c r="E23" s="3" t="str">
        <f t="shared" si="1"/>
        <v>cloudy</v>
      </c>
      <c r="F23" s="3" t="str">
        <f>Sheet4!L22</f>
        <v>N</v>
      </c>
    </row>
    <row r="24" spans="1:14" x14ac:dyDescent="0.25">
      <c r="A24" s="36">
        <v>821501</v>
      </c>
      <c r="B24" s="36" t="s">
        <v>28</v>
      </c>
      <c r="C24" s="31">
        <v>2</v>
      </c>
      <c r="D24" s="25">
        <v>5</v>
      </c>
      <c r="E24" s="3" t="str">
        <f t="shared" si="1"/>
        <v>cloudy</v>
      </c>
      <c r="F24" s="3" t="str">
        <f>Sheet4!L23</f>
        <v>N</v>
      </c>
    </row>
    <row r="25" spans="1:14" x14ac:dyDescent="0.25">
      <c r="A25" s="36">
        <v>721501</v>
      </c>
      <c r="B25" s="36" t="s">
        <v>29</v>
      </c>
      <c r="C25" s="31">
        <v>3</v>
      </c>
      <c r="D25" s="25">
        <v>5</v>
      </c>
      <c r="E25" s="3" t="str">
        <f t="shared" si="1"/>
        <v>cloudy</v>
      </c>
      <c r="F25" s="3" t="str">
        <f>Sheet4!L24</f>
        <v>N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</v>
      </c>
      <c r="L1" t="str">
        <f>VLOOKUP(K1,A$2:B$363,2,FALSE)</f>
        <v>N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</v>
      </c>
      <c r="L3" t="str">
        <f t="shared" si="0"/>
        <v>N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</v>
      </c>
      <c r="L4" t="str">
        <f t="shared" si="0"/>
        <v>N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</v>
      </c>
      <c r="L5" t="str">
        <f t="shared" si="0"/>
        <v>N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3</v>
      </c>
      <c r="L6" t="str">
        <f t="shared" si="0"/>
        <v>N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3</v>
      </c>
      <c r="L7" t="str">
        <f t="shared" si="0"/>
        <v>N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0</v>
      </c>
      <c r="L8" t="str">
        <f t="shared" si="0"/>
        <v>CALM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80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</v>
      </c>
      <c r="L10" t="str">
        <f t="shared" si="0"/>
        <v>NNE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</v>
      </c>
      <c r="L11" t="str">
        <f t="shared" si="0"/>
        <v>N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1</v>
      </c>
      <c r="L12" t="str">
        <f t="shared" si="0"/>
        <v>N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</v>
      </c>
      <c r="L13" t="str">
        <f t="shared" si="0"/>
        <v>N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</v>
      </c>
      <c r="L14" t="str">
        <f t="shared" si="0"/>
        <v>N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50</v>
      </c>
      <c r="L15" t="str">
        <f t="shared" si="0"/>
        <v>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</v>
      </c>
      <c r="L16" t="str">
        <f t="shared" si="0"/>
        <v>N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</v>
      </c>
      <c r="L17" t="str">
        <f t="shared" si="0"/>
        <v>N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25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5</v>
      </c>
      <c r="L20" t="str">
        <f t="shared" si="0"/>
        <v>N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</v>
      </c>
      <c r="L21" t="str">
        <f t="shared" si="0"/>
        <v>N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</v>
      </c>
      <c r="L22" t="str">
        <f t="shared" si="0"/>
        <v>N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</v>
      </c>
      <c r="L23" t="str">
        <f t="shared" si="0"/>
        <v>N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</v>
      </c>
      <c r="L24" t="str">
        <f t="shared" si="0"/>
        <v>N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2026-08-04T12:48:46Z</dcterms:modified>
</cp:coreProperties>
</file>