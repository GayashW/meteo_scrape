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8_{913F30D7-419C-4444-AE74-AA24F479AC0D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Sheet1!$A$5:$O$5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<sst xmlns="http://schemas.openxmlformats.org/spreadsheetml/2006/main" count="661" uniqueCount="94">
  <si>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</si>
  <si>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</si>
  <si>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</si>
  <si>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</si>
  <si>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</si>
  <si>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</si>
  <si>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</si>
  <si>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</si>
  <si>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</si>
  <si>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</si>
  <si>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</si>
  <si>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</si>
  <si>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</si>
  <si>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</si>
  <si>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</si>
  <si>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</si>
  <si>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</si>
  <si>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</si>
  <si>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</si>
  <si>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</si>
  <si>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</si>
  <si>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</si>
  <si>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</si>
  <si>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</si>
  <si>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</si>
  <si>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</si>
  <si>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</si>
  <si>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</si>
  <si>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</si>
  <si>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</si>
  <si>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</si>
  <si>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</si>
  <si>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</si>
  <si>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</si>
  <si>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</si>
  <si>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</si>
  <si>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</si>
  <si>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</si>
  <si>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</si>
  <si>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</si>
  <si>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</si>
  <si>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</si>
  <si>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</si>
  <si>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</si>
  <si>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</si>
  <si>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</si>
  <si>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</si>
  <si>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</si>
  <si>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</si>
  <si>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</si>
  <si>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</si>
  <si>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</si>
  <si>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</si>
  <si>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</si>
  <si>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</si>
  <si>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</si>
  <si>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</si>
  <si>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</si>
  <si>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</si>
  <si>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</si>
  <si>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</si>
  <si>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</si>
  <si>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</si>
  <si>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</si>
  <si>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</si>
  <si>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</si>
  <si>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</si>
  <si>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</si>
  <si>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</si>
  <si>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</si>
  <si>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</si>
  <si>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</si>
  <si>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</si>
  <si>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</si>
  <si>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</si>
  <si>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</si>
  <si>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</si>
  <si>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</si>
  <si>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</si>
  <si>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</si>
  <si>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</si>
  <si>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6.6</t>
  </si>
  <si>
    <t>24.1</t>
  </si>
  <si>
    <t>31.0</t>
  </si>
  <si>
    <t>32.0</t>
  </si>
  <si>
    <t>29.0</t>
  </si>
  <si>
    <t>10.0</t>
  </si>
  <si>
    <t>13.0</t>
  </si>
  <si>
    <t>9.0</t>
  </si>
  <si>
    <t>3.0</t>
  </si>
  <si>
    <t>26.0</t>
  </si>
  <si>
    <t>22.0</t>
  </si>
  <si>
    <t>21.0</t>
  </si>
  <si>
    <t>2026-09-11 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</si>
</sst>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D29" sqref="D29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43404</v>
      </c>
      <c r="B2" s="1" t="s">
        <v>7</v>
      </c>
      <c r="C2" s="25" t="s">
        <v>93</v>
      </c>
      <c r="D2" s="35" t="s">
        <v>79</v>
      </c>
      <c r="E2" s="35" t="s">
        <v>79</v>
      </c>
      <c r="F2" s="35">
        <v>30.3</v>
      </c>
      <c r="G2" s="1">
        <v>74</v>
      </c>
      <c r="H2" s="1" t="s">
        <v>35</v>
      </c>
      <c r="I2" s="1" t="s">
        <v>56</v>
      </c>
      <c r="J2" s="35">
        <v>11.9</v>
      </c>
      <c r="K2" s="1">
        <v>7</v>
      </c>
      <c r="L2" s="35">
        <v>1005.4</v>
      </c>
      <c r="M2" s="35">
        <v>25.1</v>
      </c>
    </row>
    <row r="3" spans="1:15" ht="15.75" customHeight="1" x14ac:dyDescent="0.25">
      <c r="A3" s="3">
        <v>43410</v>
      </c>
      <c r="B3" s="3" t="s">
        <v>8</v>
      </c>
      <c r="C3" s="25" t="s">
        <v>93</v>
      </c>
      <c r="D3" s="35" t="s">
        <v>81</v>
      </c>
      <c r="E3" s="35" t="s">
        <v>81</v>
      </c>
      <c r="F3" s="35">
        <v>29.2</v>
      </c>
      <c r="G3" s="1">
        <v>83</v>
      </c>
      <c r="H3" s="1" t="s">
        <v>45</v>
      </c>
      <c r="I3" s="1" t="s">
        <v>61</v>
      </c>
      <c r="J3" s="35" t="s">
        <v>86</v>
      </c>
      <c r="K3" s="1">
        <v>7</v>
      </c>
      <c r="L3" s="35">
        <v>1005.8</v>
      </c>
      <c r="M3" s="35">
        <v>26.1</v>
      </c>
    </row>
    <row r="4" spans="1:15" ht="15.75" customHeight="1" x14ac:dyDescent="0.25">
      <c r="A4" s="1">
        <v>43413</v>
      </c>
      <c r="B4" s="2" t="s">
        <v>9</v>
      </c>
      <c r="C4" s="25" t="s">
        <v>93</v>
      </c>
      <c r="D4" s="35" t="s">
        <v>79</v>
      </c>
      <c r="E4" s="35" t="s">
        <v>79</v>
      </c>
      <c r="F4" s="35">
        <v>29.5</v>
      </c>
      <c r="G4" s="35">
        <v>81</v>
      </c>
      <c r="H4" s="35" t="s">
        <v>34</v>
      </c>
      <c r="I4" s="35" t="s">
        <v>56</v>
      </c>
      <c r="J4" s="35">
        <v>18.7</v>
      </c>
      <c r="K4" s="35">
        <v>4</v>
      </c>
      <c r="L4" s="35">
        <v>1006.3</v>
      </c>
      <c r="M4" s="35" t="s">
        <v>90</v>
      </c>
    </row>
    <row r="5" spans="1:15" ht="15.75" customHeight="1" x14ac:dyDescent="0.25">
      <c r="A5" s="1">
        <v>43415</v>
      </c>
      <c r="B5" s="1" t="s">
        <v>10</v>
      </c>
      <c r="C5" s="25" t="s">
        <v>93</v>
      </c>
      <c r="D5" s="35" t="s">
        <v>79</v>
      </c>
      <c r="E5" s="35" t="s">
        <v>79</v>
      </c>
      <c r="F5" s="35">
        <v>33.200000000000003</v>
      </c>
      <c r="G5" s="1">
        <v>53</v>
      </c>
      <c r="H5" s="1" t="s">
        <v>34</v>
      </c>
      <c r="I5" s="1" t="s">
        <v>55</v>
      </c>
      <c r="J5" s="35">
        <v>7.2</v>
      </c>
      <c r="K5" s="1">
        <v>6</v>
      </c>
      <c r="L5" s="35">
        <v>1009.9</v>
      </c>
      <c r="M5" s="35">
        <v>22.4</v>
      </c>
    </row>
    <row r="6" spans="1:15" ht="15.75" customHeight="1" x14ac:dyDescent="0.25">
      <c r="A6" s="1">
        <v>43418</v>
      </c>
      <c r="B6" s="2" t="s">
        <v>11</v>
      </c>
      <c r="C6" s="25" t="s">
        <v>93</v>
      </c>
      <c r="D6" s="35" t="s">
        <v>79</v>
      </c>
      <c r="E6" s="35" t="s">
        <v>79</v>
      </c>
      <c r="F6" s="35" t="s">
        <v>83</v>
      </c>
      <c r="G6" s="35">
        <v>75</v>
      </c>
      <c r="H6" s="35" t="s">
        <v>35</v>
      </c>
      <c r="I6" s="35" t="s">
        <v>55</v>
      </c>
      <c r="J6" s="35">
        <v>5.2</v>
      </c>
      <c r="K6" s="35">
        <v>8</v>
      </c>
      <c r="L6" s="35">
        <v>1006.8</v>
      </c>
      <c r="M6" s="35" t="s">
        <v>90</v>
      </c>
    </row>
    <row r="7" spans="1:15" ht="15.75" customHeight="1" x14ac:dyDescent="0.25">
      <c r="A7" s="1">
        <v>43421</v>
      </c>
      <c r="B7" s="2" t="s">
        <v>12</v>
      </c>
      <c r="C7" s="25" t="s">
        <v>93</v>
      </c>
      <c r="D7" s="35" t="s">
        <v>79</v>
      </c>
      <c r="E7" s="35" t="s">
        <v>79</v>
      </c>
      <c r="F7" s="35">
        <v>32.6</v>
      </c>
      <c r="G7" s="35">
        <v>54</v>
      </c>
      <c r="H7" s="35" t="s">
        <v>34</v>
      </c>
      <c r="I7" s="35" t="s">
        <v>57</v>
      </c>
      <c r="J7" s="35">
        <v>7.6</v>
      </c>
      <c r="K7" s="35">
        <v>6</v>
      </c>
      <c r="L7" s="35">
        <v>1006.3</v>
      </c>
      <c r="M7" s="35">
        <v>21.9</v>
      </c>
      <c r="N7" s="24"/>
      <c r="O7" s="24"/>
    </row>
    <row r="8" spans="1:15" ht="15.75" customHeight="1" x14ac:dyDescent="0.25">
      <c r="A8" s="1">
        <v>43422</v>
      </c>
      <c r="B8" s="1" t="s">
        <v>13</v>
      </c>
      <c r="C8" s="25" t="s">
        <v>93</v>
      </c>
      <c r="D8" s="35" t="s">
        <v>79</v>
      </c>
      <c r="E8" s="35" t="s">
        <v>79</v>
      </c>
      <c r="F8" s="35" t="s">
        <v>84</v>
      </c>
      <c r="G8" s="1">
        <v>56</v>
      </c>
      <c r="H8" s="1" t="s">
        <v>32</v>
      </c>
      <c r="I8" s="1" t="s">
        <v>55</v>
      </c>
      <c r="J8" s="35">
        <v>11.5</v>
      </c>
      <c r="K8" s="1">
        <v>3</v>
      </c>
      <c r="L8" s="35">
        <v>1006.3</v>
      </c>
      <c r="M8" s="35" t="s">
        <v>91</v>
      </c>
      <c r="N8" s="24"/>
      <c r="O8" s="24"/>
    </row>
    <row r="9" spans="1:15" ht="15.75" customHeight="1" x14ac:dyDescent="0.25">
      <c r="A9" s="1">
        <v>43424</v>
      </c>
      <c r="B9" s="1" t="s">
        <v>14</v>
      </c>
      <c r="C9" s="25" t="s">
        <v>93</v>
      </c>
      <c r="D9" s="35" t="s">
        <v>79</v>
      </c>
      <c r="E9" s="35" t="s">
        <v>79</v>
      </c>
      <c r="F9" s="35">
        <v>30.5</v>
      </c>
      <c r="G9" s="35">
        <v>71</v>
      </c>
      <c r="H9" s="35" t="s">
        <v>32</v>
      </c>
      <c r="I9" s="35" t="s">
        <v>57</v>
      </c>
      <c r="J9" s="35">
        <v>10.1</v>
      </c>
      <c r="K9" s="35">
        <v>3</v>
      </c>
      <c r="L9" s="35">
        <v>1007</v>
      </c>
      <c r="M9" s="35">
        <v>24.7</v>
      </c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5" t="s">
        <v>93</v>
      </c>
      <c r="D10" s="35" t="s">
        <v>79</v>
      </c>
      <c r="E10" s="35" t="s">
        <v>79</v>
      </c>
      <c r="F10" s="35">
        <v>30.6</v>
      </c>
      <c r="G10" s="35">
        <v>80</v>
      </c>
      <c r="H10" s="35" t="s">
        <v>34</v>
      </c>
      <c r="I10" s="35" t="s">
        <v>71</v>
      </c>
      <c r="J10" s="35">
        <v>2.2000000000000002</v>
      </c>
      <c r="K10" s="35">
        <v>5</v>
      </c>
      <c r="L10" s="35">
        <v>1005.2</v>
      </c>
      <c r="M10" s="35">
        <v>26.7</v>
      </c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5" t="s">
        <v>93</v>
      </c>
      <c r="D11" s="35" t="s">
        <v>79</v>
      </c>
      <c r="E11" s="35" t="s">
        <v>79</v>
      </c>
      <c r="F11" s="35">
        <v>31.3</v>
      </c>
      <c r="G11" s="35">
        <v>64</v>
      </c>
      <c r="H11" s="35" t="s">
        <v>32</v>
      </c>
      <c r="I11" s="35" t="s">
        <v>57</v>
      </c>
      <c r="J11" s="35" t="s">
        <v>87</v>
      </c>
      <c r="K11" s="35">
        <v>2</v>
      </c>
      <c r="L11" s="35">
        <v>1006.4</v>
      </c>
      <c r="M11" s="35">
        <v>23.7</v>
      </c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5" t="s">
        <v>93</v>
      </c>
      <c r="D12" s="35" t="s">
        <v>79</v>
      </c>
      <c r="E12" s="35" t="s">
        <v>79</v>
      </c>
      <c r="F12" s="35">
        <v>28.6</v>
      </c>
      <c r="G12" s="35">
        <v>67</v>
      </c>
      <c r="H12" s="35" t="s">
        <v>32</v>
      </c>
      <c r="I12" s="35" t="s">
        <v>58</v>
      </c>
      <c r="J12" s="35" t="s">
        <v>88</v>
      </c>
      <c r="K12" s="35">
        <v>2</v>
      </c>
      <c r="L12" s="35">
        <v>1007.3</v>
      </c>
      <c r="M12" s="35">
        <v>21.9</v>
      </c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5" t="s">
        <v>93</v>
      </c>
      <c r="D13" s="35" t="s">
        <v>79</v>
      </c>
      <c r="E13" s="35" t="s">
        <v>79</v>
      </c>
      <c r="F13" s="35">
        <v>30.4</v>
      </c>
      <c r="G13" s="35">
        <v>73</v>
      </c>
      <c r="H13" s="35" t="s">
        <v>34</v>
      </c>
      <c r="I13" s="35" t="s">
        <v>56</v>
      </c>
      <c r="J13" s="35">
        <v>11.5</v>
      </c>
      <c r="K13" s="35">
        <v>5</v>
      </c>
      <c r="L13" s="35">
        <v>1007.6</v>
      </c>
      <c r="M13" s="35">
        <v>24.9</v>
      </c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5" t="s">
        <v>93</v>
      </c>
      <c r="D14" s="35" t="s">
        <v>79</v>
      </c>
      <c r="E14" s="35" t="s">
        <v>79</v>
      </c>
      <c r="F14" s="35">
        <v>30.1</v>
      </c>
      <c r="G14" s="35">
        <v>73</v>
      </c>
      <c r="H14" s="35" t="s">
        <v>34</v>
      </c>
      <c r="I14" s="35" t="s">
        <v>55</v>
      </c>
      <c r="J14" s="35">
        <v>6.8</v>
      </c>
      <c r="K14" s="35">
        <v>4</v>
      </c>
      <c r="L14" s="35">
        <v>1007.8</v>
      </c>
      <c r="M14" s="35">
        <v>22.5</v>
      </c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5" t="s">
        <v>93</v>
      </c>
      <c r="D15" s="35" t="s">
        <v>79</v>
      </c>
      <c r="E15" s="35" t="s">
        <v>79</v>
      </c>
      <c r="F15" s="35">
        <v>30.9</v>
      </c>
      <c r="G15" s="35">
        <v>73</v>
      </c>
      <c r="H15" s="35" t="s">
        <v>32</v>
      </c>
      <c r="I15" s="35" t="s">
        <v>55</v>
      </c>
      <c r="J15" s="35">
        <v>6.8</v>
      </c>
      <c r="K15" s="35">
        <v>3</v>
      </c>
      <c r="L15" s="35">
        <v>1007.9</v>
      </c>
      <c r="M15" s="35">
        <v>25.5</v>
      </c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5" t="s">
        <v>93</v>
      </c>
      <c r="D16" s="35" t="s">
        <v>79</v>
      </c>
      <c r="E16" s="35" t="s">
        <v>79</v>
      </c>
      <c r="F16" s="35">
        <v>18.7</v>
      </c>
      <c r="G16" s="35">
        <v>83</v>
      </c>
      <c r="H16" s="35" t="s">
        <v>34</v>
      </c>
      <c r="I16" s="35" t="s">
        <v>58</v>
      </c>
      <c r="J16" s="35" t="s">
        <v>88</v>
      </c>
      <c r="K16" s="35">
        <v>6</v>
      </c>
      <c r="L16" s="35" t="s">
        <v>78</v>
      </c>
      <c r="M16" s="35">
        <v>15.3</v>
      </c>
      <c r="N16" s="24"/>
      <c r="O16" s="24"/>
    </row>
    <row r="17" spans="1:15" ht="15.75" customHeight="1" x14ac:dyDescent="0.25">
      <c r="A17" s="1">
        <v>43475</v>
      </c>
      <c r="B17" s="2" t="s">
        <v>26</v>
      </c>
      <c r="C17" s="25" t="s">
        <v>93</v>
      </c>
      <c r="D17" s="35" t="s">
        <v>79</v>
      </c>
      <c r="E17" s="35" t="s">
        <v>79</v>
      </c>
      <c r="F17" s="35">
        <v>29.7</v>
      </c>
      <c r="G17" s="1">
        <v>81</v>
      </c>
      <c r="H17" s="1" t="s">
        <v>32</v>
      </c>
      <c r="I17" s="1" t="s">
        <v>72</v>
      </c>
      <c r="J17" s="35">
        <v>15.8</v>
      </c>
      <c r="K17" s="1">
        <v>3</v>
      </c>
      <c r="L17" s="35">
        <v>1004.8</v>
      </c>
      <c r="M17" s="35">
        <v>26.5</v>
      </c>
      <c r="N17" s="24"/>
      <c r="O17" s="24"/>
    </row>
    <row r="18" spans="1:15" ht="15.75" customHeight="1" x14ac:dyDescent="0.25">
      <c r="A18" s="1">
        <v>43476</v>
      </c>
      <c r="B18" s="1" t="s">
        <v>21</v>
      </c>
      <c r="C18" s="25" t="s">
        <v>93</v>
      </c>
      <c r="D18" s="35" t="s">
        <v>82</v>
      </c>
      <c r="E18" s="35" t="s">
        <v>82</v>
      </c>
      <c r="F18" s="35">
        <v>22.2</v>
      </c>
      <c r="G18" s="1">
        <v>93</v>
      </c>
      <c r="H18" s="1" t="s">
        <v>33</v>
      </c>
      <c r="I18" s="1" t="s">
        <v>66</v>
      </c>
      <c r="J18" s="35" t="s">
        <v>79</v>
      </c>
      <c r="K18" s="1">
        <v>6</v>
      </c>
      <c r="L18" s="35" t="s">
        <v>78</v>
      </c>
      <c r="M18" s="35" t="s">
        <v>92</v>
      </c>
      <c r="N18" s="24"/>
      <c r="O18" s="24"/>
    </row>
    <row r="19" spans="1:15" ht="15.75" customHeight="1" x14ac:dyDescent="0.25">
      <c r="A19" s="1">
        <v>43479</v>
      </c>
      <c r="B19" s="1" t="s">
        <v>22</v>
      </c>
      <c r="C19" s="25" t="s">
        <v>93</v>
      </c>
      <c r="D19" s="35" t="s">
        <v>79</v>
      </c>
      <c r="E19" s="35" t="s">
        <v>79</v>
      </c>
      <c r="F19" s="35">
        <v>29.6</v>
      </c>
      <c r="G19" s="1">
        <v>54</v>
      </c>
      <c r="H19" s="1" t="s">
        <v>34</v>
      </c>
      <c r="I19" s="1" t="s">
        <v>74</v>
      </c>
      <c r="J19" s="35">
        <v>6.5</v>
      </c>
      <c r="K19" s="1">
        <v>4</v>
      </c>
      <c r="L19" s="35" t="s">
        <v>78</v>
      </c>
      <c r="M19" s="35">
        <v>19.2</v>
      </c>
    </row>
    <row r="20" spans="1:15" ht="15.75" customHeight="1" x14ac:dyDescent="0.25">
      <c r="A20" s="1">
        <v>43486</v>
      </c>
      <c r="B20" s="2" t="s">
        <v>23</v>
      </c>
      <c r="C20" s="25" t="s">
        <v>93</v>
      </c>
      <c r="D20" s="35" t="s">
        <v>79</v>
      </c>
      <c r="E20" s="35" t="s">
        <v>79</v>
      </c>
      <c r="F20" s="35">
        <v>30.4</v>
      </c>
      <c r="G20" s="35">
        <v>69</v>
      </c>
      <c r="H20" s="35" t="s">
        <v>32</v>
      </c>
      <c r="I20" s="35" t="s">
        <v>61</v>
      </c>
      <c r="J20" s="35">
        <v>8.6</v>
      </c>
      <c r="K20" s="35">
        <v>1</v>
      </c>
      <c r="L20" s="35">
        <v>1007</v>
      </c>
      <c r="M20" s="35">
        <v>23.8</v>
      </c>
    </row>
    <row r="21" spans="1:15" ht="15.75" customHeight="1" x14ac:dyDescent="0.25">
      <c r="A21" s="1">
        <v>43495</v>
      </c>
      <c r="B21" s="2" t="s">
        <v>24</v>
      </c>
      <c r="C21" s="25" t="s">
        <v>93</v>
      </c>
      <c r="D21" s="35" t="s">
        <v>79</v>
      </c>
      <c r="E21" s="35" t="s">
        <v>79</v>
      </c>
      <c r="F21" s="35">
        <v>29.5</v>
      </c>
      <c r="G21" s="35">
        <v>81</v>
      </c>
      <c r="H21" s="35" t="s">
        <v>32</v>
      </c>
      <c r="I21" s="35" t="s">
        <v>55</v>
      </c>
      <c r="J21" s="35">
        <v>7.6</v>
      </c>
      <c r="K21" s="35">
        <v>2</v>
      </c>
      <c r="L21" s="35">
        <v>1007.8</v>
      </c>
      <c r="M21" s="35" t="s">
        <v>90</v>
      </c>
    </row>
    <row r="22" spans="1:15" ht="15.75" customHeight="1" x14ac:dyDescent="0.25">
      <c r="A22" s="1">
        <v>43497</v>
      </c>
      <c r="B22" s="2" t="s">
        <v>25</v>
      </c>
      <c r="C22" s="25" t="s">
        <v>93</v>
      </c>
      <c r="D22" s="35" t="s">
        <v>79</v>
      </c>
      <c r="E22" s="35" t="s">
        <v>79</v>
      </c>
      <c r="F22" s="35" t="s">
        <v>85</v>
      </c>
      <c r="G22" s="35">
        <v>84</v>
      </c>
      <c r="H22" s="35" t="s">
        <v>34</v>
      </c>
      <c r="I22" s="35" t="s">
        <v>55</v>
      </c>
      <c r="J22" s="35">
        <v>25.6</v>
      </c>
      <c r="K22" s="35">
        <v>4</v>
      </c>
      <c r="L22" s="35">
        <v>1006.1</v>
      </c>
      <c r="M22" s="35">
        <v>26.3</v>
      </c>
    </row>
    <row r="23" spans="1:15" ht="15.75" customHeight="1" x14ac:dyDescent="0.25">
      <c r="A23" s="1">
        <v>330601</v>
      </c>
      <c r="B23" s="2" t="s">
        <v>27</v>
      </c>
      <c r="C23" s="25" t="s">
        <v>93</v>
      </c>
      <c r="D23" s="35" t="s">
        <v>79</v>
      </c>
      <c r="E23" s="35" t="s">
        <v>79</v>
      </c>
      <c r="F23" s="35">
        <v>33.1</v>
      </c>
      <c r="G23" s="35">
        <v>50</v>
      </c>
      <c r="H23" s="35" t="s">
        <v>32</v>
      </c>
      <c r="I23" s="35" t="s">
        <v>57</v>
      </c>
      <c r="J23" s="35">
        <v>26.2</v>
      </c>
      <c r="K23" s="35">
        <v>2</v>
      </c>
      <c r="L23" s="35">
        <v>1006.2</v>
      </c>
      <c r="M23" s="35">
        <v>21.3</v>
      </c>
      <c r="N23" s="24"/>
      <c r="O23" s="24"/>
    </row>
    <row r="24" spans="1:15" ht="15.75" customHeight="1" x14ac:dyDescent="0.25">
      <c r="A24" s="1">
        <v>721501</v>
      </c>
      <c r="B24" s="1" t="s">
        <v>29</v>
      </c>
      <c r="C24" s="25" t="s">
        <v>93</v>
      </c>
      <c r="D24" s="35" t="s">
        <v>79</v>
      </c>
      <c r="E24" s="35" t="s">
        <v>79</v>
      </c>
      <c r="F24" s="35">
        <v>35.299999999999997</v>
      </c>
      <c r="G24" s="1">
        <v>47</v>
      </c>
      <c r="H24" s="1" t="s">
        <v>34</v>
      </c>
      <c r="I24" s="1" t="s">
        <v>58</v>
      </c>
      <c r="J24" s="35">
        <v>13.1</v>
      </c>
      <c r="K24" s="1">
        <v>6</v>
      </c>
      <c r="L24" s="35">
        <v>1005</v>
      </c>
      <c r="M24" s="35">
        <v>22.1</v>
      </c>
      <c r="N24" s="24"/>
      <c r="O24" s="24"/>
    </row>
    <row r="25" spans="1:15" ht="15.75" customHeight="1" x14ac:dyDescent="0.25">
      <c r="A25" s="1">
        <v>821501</v>
      </c>
      <c r="B25" s="1" t="s">
        <v>28</v>
      </c>
      <c r="C25" s="25" t="s">
        <v>93</v>
      </c>
      <c r="D25" s="35" t="s">
        <v>79</v>
      </c>
      <c r="E25" s="35" t="s">
        <v>79</v>
      </c>
      <c r="F25" s="35">
        <v>33.799999999999997</v>
      </c>
      <c r="G25" s="1">
        <v>47</v>
      </c>
      <c r="H25" s="1" t="s">
        <v>34</v>
      </c>
      <c r="I25" s="1" t="s">
        <v>55</v>
      </c>
      <c r="J25" s="35" t="s">
        <v>89</v>
      </c>
      <c r="K25" s="1">
        <v>6</v>
      </c>
      <c r="L25" s="35">
        <v>1005.7</v>
      </c>
      <c r="M25" s="35">
        <v>21.3</v>
      </c>
      <c r="N25" s="24"/>
      <c r="O25" s="24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M1 H1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Sheet4!$Q$1:$Q$16</xm:f>
          </x14:formula1>
          <xm:sqref>M1 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203</v>
      </c>
      <c r="D2">
        <v>5</v>
      </c>
      <c r="E2" s="3" t="str">
        <f>VLOOKUP(D2,$G$1:$H$19,2,FALSE)</f>
        <v>cloudy</v>
      </c>
      <c r="F2" s="3" t="str">
        <f>Sheet4!L1</f>
        <v>SSW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270</v>
      </c>
      <c r="D3">
        <v>11</v>
      </c>
      <c r="E3" s="3" t="str">
        <f t="shared" ref="E3:E25" si="1">VLOOKUP(D3,$G$1:$H$19,2,FALSE)</f>
        <v>showers</v>
      </c>
      <c r="F3" s="3" t="str">
        <f>Sheet4!L2</f>
        <v>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202</v>
      </c>
      <c r="D4">
        <v>6</v>
      </c>
      <c r="E4" s="3" t="str">
        <f t="shared" si="1"/>
        <v>partlycloudy</v>
      </c>
      <c r="F4" s="3" t="str">
        <f>Sheet4!L3</f>
        <v>SSW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230</v>
      </c>
      <c r="D5">
        <v>6</v>
      </c>
      <c r="E5" s="3" t="str">
        <f t="shared" si="1"/>
        <v>partlycloudy</v>
      </c>
      <c r="F5" s="3" t="str">
        <f>Sheet4!L4</f>
        <v>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230</v>
      </c>
      <c r="D6">
        <v>5</v>
      </c>
      <c r="E6" s="3" t="str">
        <f t="shared" si="1"/>
        <v>cloudy</v>
      </c>
      <c r="F6" s="3" t="str">
        <f>Sheet4!L5</f>
        <v>SW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258</v>
      </c>
      <c r="D7">
        <v>6</v>
      </c>
      <c r="E7" s="3" t="str">
        <f t="shared" si="1"/>
        <v>partlycloudy</v>
      </c>
      <c r="F7" s="3" t="str">
        <f>Sheet4!L6</f>
        <v>WSW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230</v>
      </c>
      <c r="D8">
        <v>2</v>
      </c>
      <c r="E8" s="3" t="str">
        <f t="shared" si="1"/>
        <v>fairday</v>
      </c>
      <c r="F8" s="3" t="str">
        <f>Sheet4!L7</f>
        <v>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250</v>
      </c>
      <c r="D9">
        <v>2</v>
      </c>
      <c r="E9" s="3" t="str">
        <f t="shared" si="1"/>
        <v>fairday</v>
      </c>
      <c r="F9" s="3" t="str">
        <f>Sheet4!L8</f>
        <v>WSW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140</v>
      </c>
      <c r="D10">
        <v>6</v>
      </c>
      <c r="E10" s="3" t="str">
        <f t="shared" si="1"/>
        <v>partlycloudy</v>
      </c>
      <c r="F10" s="3" t="str">
        <f>Sheet4!L9</f>
        <v>SE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250</v>
      </c>
      <c r="D11">
        <v>2</v>
      </c>
      <c r="E11" s="3" t="str">
        <f t="shared" si="1"/>
        <v>fairday</v>
      </c>
      <c r="F11" s="3" t="str">
        <f>Sheet4!L10</f>
        <v>WSW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290</v>
      </c>
      <c r="D12">
        <v>2</v>
      </c>
      <c r="E12" s="3" t="str">
        <f t="shared" si="1"/>
        <v>fairday</v>
      </c>
      <c r="F12" s="3" t="str">
        <f>Sheet4!L11</f>
        <v>WNW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210</v>
      </c>
      <c r="D13">
        <v>6</v>
      </c>
      <c r="E13" s="3" t="str">
        <f t="shared" si="1"/>
        <v>partlycloudy</v>
      </c>
      <c r="F13" s="3" t="str">
        <f>Sheet4!L12</f>
        <v>SSW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235</v>
      </c>
      <c r="D14">
        <v>6</v>
      </c>
      <c r="E14" s="3" t="str">
        <f t="shared" si="1"/>
        <v>partlycloudy</v>
      </c>
      <c r="F14" s="3" t="str">
        <f>Sheet4!L13</f>
        <v>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230</v>
      </c>
      <c r="D15">
        <v>2</v>
      </c>
      <c r="E15" s="3" t="str">
        <f t="shared" si="1"/>
        <v>fairday</v>
      </c>
      <c r="F15" s="3" t="str">
        <f>Sheet4!L14</f>
        <v>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294</v>
      </c>
      <c r="D16">
        <v>6</v>
      </c>
      <c r="E16" s="3" t="str">
        <f t="shared" si="1"/>
        <v>partlycloudy</v>
      </c>
      <c r="F16" s="3" t="str">
        <f>Sheet4!L15</f>
        <v>WNW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186</v>
      </c>
      <c r="D17">
        <v>2</v>
      </c>
      <c r="E17" s="3" t="str">
        <f t="shared" si="1"/>
        <v>fairday</v>
      </c>
      <c r="F17" s="3" t="str">
        <f>Sheet4!L16</f>
        <v>S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0</v>
      </c>
      <c r="D18">
        <v>9</v>
      </c>
      <c r="E18" s="3" t="str">
        <f t="shared" si="1"/>
        <v>haze</v>
      </c>
      <c r="F18" s="3" t="str">
        <f>Sheet4!L17</f>
        <v>CALM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336</v>
      </c>
      <c r="D19">
        <v>6</v>
      </c>
      <c r="E19" s="3" t="str">
        <f t="shared" si="1"/>
        <v>partlycloudy</v>
      </c>
      <c r="F19" s="3" t="str">
        <f>Sheet4!L18</f>
        <v>NNW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279</v>
      </c>
      <c r="D20">
        <v>2</v>
      </c>
      <c r="E20" s="3" t="str">
        <f t="shared" si="1"/>
        <v>fairday</v>
      </c>
      <c r="F20" s="3" t="str">
        <f>Sheet4!L19</f>
        <v>W</v>
      </c>
    </row>
    <row r="21" spans="1:14" x14ac:dyDescent="0.25">
      <c r="A21" s="32">
        <v>43497</v>
      </c>
      <c r="B21" s="34" t="s">
        <v>25</v>
      </c>
      <c r="C21">
        <v>232</v>
      </c>
      <c r="D21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220</v>
      </c>
      <c r="D22">
        <v>6</v>
      </c>
      <c r="E22" s="3" t="str">
        <f t="shared" si="1"/>
        <v>partlycloudy</v>
      </c>
      <c r="F22" s="3" t="str">
        <f>Sheet4!L21</f>
        <v>SW</v>
      </c>
    </row>
    <row r="23" spans="1:14" x14ac:dyDescent="0.25">
      <c r="A23" s="32">
        <v>330601</v>
      </c>
      <c r="B23" s="34" t="s">
        <v>27</v>
      </c>
      <c r="C23">
        <v>250</v>
      </c>
      <c r="D23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2">
        <v>821501</v>
      </c>
      <c r="B24" s="32" t="s">
        <v>28</v>
      </c>
      <c r="C24">
        <v>290</v>
      </c>
      <c r="D24">
        <v>6</v>
      </c>
      <c r="E24" s="3" t="str">
        <f t="shared" si="1"/>
        <v>partlycloudy</v>
      </c>
      <c r="F24" s="3" t="str">
        <f>Sheet4!L23</f>
        <v>WNW</v>
      </c>
    </row>
    <row r="25" spans="1:14" x14ac:dyDescent="0.25">
      <c r="A25" s="32">
        <v>721501</v>
      </c>
      <c r="B25" s="32" t="s">
        <v>29</v>
      </c>
      <c r="C25">
        <v>230</v>
      </c>
      <c r="D25">
        <v>6</v>
      </c>
      <c r="E25" s="3" t="str">
        <f t="shared" si="1"/>
        <v>partlycloudy</v>
      </c>
      <c r="F25" s="3" t="str">
        <f>Sheet4!L24</f>
        <v>SW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203</v>
      </c>
      <c r="L1" t="str">
        <f>VLOOKUP(K1,A$2:B$363,2,FALSE)</f>
        <v>SSW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270</v>
      </c>
      <c r="L2" t="str">
        <f t="shared" ref="L2:L24" si="0">VLOOKUP(K2,A$2:B$363,2,FALSE)</f>
        <v>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202</v>
      </c>
      <c r="L3" t="str">
        <f t="shared" si="0"/>
        <v>SSW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258</v>
      </c>
      <c r="L6" t="str">
        <f t="shared" si="0"/>
        <v>WSW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140</v>
      </c>
      <c r="L9" t="str">
        <f t="shared" si="0"/>
        <v>SE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250</v>
      </c>
      <c r="L10" t="str">
        <f t="shared" si="0"/>
        <v>WSW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290</v>
      </c>
      <c r="L11" t="str">
        <f t="shared" si="0"/>
        <v>WNW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210</v>
      </c>
      <c r="L12" t="str">
        <f t="shared" si="0"/>
        <v>SSW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235</v>
      </c>
      <c r="L13" t="str">
        <f t="shared" si="0"/>
        <v>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294</v>
      </c>
      <c r="L15" t="str">
        <f t="shared" si="0"/>
        <v>WNW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186</v>
      </c>
      <c r="L16" t="str">
        <f t="shared" si="0"/>
        <v>S</v>
      </c>
      <c r="Q16" t="s">
        <v>74</v>
      </c>
    </row>
    <row r="17" spans="1:12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0</v>
      </c>
      <c r="L17" t="str">
        <f t="shared" si="0"/>
        <v>CALM</v>
      </c>
    </row>
    <row r="18" spans="1:12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336</v>
      </c>
      <c r="L18" t="str">
        <f t="shared" si="0"/>
        <v>NNW</v>
      </c>
    </row>
    <row r="19" spans="1:12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279</v>
      </c>
      <c r="L19" t="str">
        <f t="shared" si="0"/>
        <v>W</v>
      </c>
    </row>
    <row r="20" spans="1:12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232</v>
      </c>
      <c r="L20" t="str">
        <f t="shared" si="0"/>
        <v>SW</v>
      </c>
    </row>
    <row r="21" spans="1:12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220</v>
      </c>
      <c r="L21" t="str">
        <f t="shared" si="0"/>
        <v>SW</v>
      </c>
    </row>
    <row r="22" spans="1:12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290</v>
      </c>
      <c r="L23" t="str">
        <f t="shared" si="0"/>
        <v>WNW</v>
      </c>
    </row>
    <row r="24" spans="1:12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230</v>
      </c>
      <c r="L24" t="str">
        <f t="shared" si="0"/>
        <v>SW</v>
      </c>
    </row>
    <row r="25" spans="1:12" x14ac:dyDescent="0.25">
      <c r="A25" s="27">
        <v>22</v>
      </c>
      <c r="B25" s="27" t="s">
        <v>68</v>
      </c>
    </row>
    <row r="26" spans="1:12" x14ac:dyDescent="0.25">
      <c r="A26" s="27">
        <v>23</v>
      </c>
      <c r="B26" s="27" t="s">
        <v>68</v>
      </c>
    </row>
    <row r="27" spans="1:12" x14ac:dyDescent="0.25">
      <c r="A27" s="27">
        <v>24</v>
      </c>
      <c r="B27" s="27" t="s">
        <v>68</v>
      </c>
    </row>
    <row r="28" spans="1:12" x14ac:dyDescent="0.25">
      <c r="A28" s="27">
        <v>25</v>
      </c>
      <c r="B28" s="27" t="s">
        <v>68</v>
      </c>
    </row>
    <row r="29" spans="1:12" x14ac:dyDescent="0.25">
      <c r="A29" s="27">
        <v>26</v>
      </c>
      <c r="B29" s="27" t="s">
        <v>68</v>
      </c>
    </row>
    <row r="30" spans="1:12" x14ac:dyDescent="0.25">
      <c r="A30" s="27">
        <v>27</v>
      </c>
      <c r="B30" s="27" t="s">
        <v>68</v>
      </c>
    </row>
    <row r="31" spans="1:12" x14ac:dyDescent="0.25">
      <c r="A31" s="27">
        <v>28</v>
      </c>
      <c r="B31" s="27" t="s">
        <v>68</v>
      </c>
    </row>
    <row r="32" spans="1:12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2026-09-11T12:28:53Z</dcterms:modified>
</cp:coreProperties>
</file>