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28356719-23AA-417D-846D-C2C2711F9295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Sheet1!$A$9:$M$9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<sst xmlns="http://schemas.openxmlformats.org/spreadsheetml/2006/main" count="594" uniqueCount="78">
  <si>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</si>
  <si>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</si>
  <si>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</si>
  <si>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</si>
  <si>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</si>
  <si>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</si>
  <si>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</si>
  <si>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</si>
  <si>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</si>
  <si>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</si>
  <si>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</si>
  <si>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</si>
  <si>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</si>
  <si>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</si>
  <si>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</si>
  <si>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</si>
  <si>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</si>
  <si>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</si>
  <si>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</si>
  <si>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</si>
  <si>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</si>
  <si>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</si>
  <si>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</si>
  <si>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</si>
  <si>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</si>
  <si>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</si>
  <si>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</si>
  <si>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</si>
  <si>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</si>
  <si>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</si>
  <si>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</si>
  <si>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</si>
  <si>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</si>
  <si>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</si>
  <si>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</si>
  <si>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</si>
  <si>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</si>
  <si>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</si>
  <si>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</si>
  <si>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</si>
  <si>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</si>
  <si>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</si>
  <si>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</si>
  <si>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</si>
  <si>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</si>
  <si>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</si>
  <si>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</si>
  <si>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</si>
  <si>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</si>
  <si>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</si>
  <si>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</si>
  <si>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</si>
  <si>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</si>
  <si>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</si>
  <si>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</si>
  <si>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</si>
  <si>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</si>
  <si>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</si>
  <si>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</si>
  <si>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</si>
  <si>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</si>
  <si>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</si>
  <si>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</si>
  <si>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</si>
  <si>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</si>
  <si>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</si>
  <si>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</si>
  <si>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</si>
  <si>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</si>
  <si>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</si>
  <si>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</si>
  <si>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</si>
  <si>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</si>
  <si>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</si>
  <si>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</si>
  <si>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</si>
  <si>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2026-07-21 1730</t>
  </si>
  <si>
    <t>Calm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</si>
</sst>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F26" sqref="F26:F27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6.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76</v>
      </c>
      <c r="D2" s="40">
        <v>0</v>
      </c>
      <c r="E2" s="40">
        <v>0</v>
      </c>
      <c r="F2" s="40">
        <v>29.5</v>
      </c>
      <c r="G2" s="39">
        <v>75</v>
      </c>
      <c r="H2" s="39" t="s">
        <v>32</v>
      </c>
      <c r="I2" s="39" t="s">
        <v>72</v>
      </c>
      <c r="J2" s="40">
        <v>12.6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76</v>
      </c>
      <c r="D3" s="40">
        <v>0</v>
      </c>
      <c r="E3" s="40">
        <v>0</v>
      </c>
      <c r="F3" s="40">
        <v>31.9</v>
      </c>
      <c r="G3" s="39">
        <v>59</v>
      </c>
      <c r="H3" s="39" t="s">
        <v>32</v>
      </c>
      <c r="I3" s="39" t="s">
        <v>77</v>
      </c>
      <c r="J3" s="40" t="s">
        <v>77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76</v>
      </c>
      <c r="D4" s="40">
        <v>0</v>
      </c>
      <c r="E4" s="40">
        <v>0</v>
      </c>
      <c r="F4" s="40">
        <v>28.6</v>
      </c>
      <c r="G4" s="39">
        <v>83</v>
      </c>
      <c r="H4" s="39" t="s">
        <v>34</v>
      </c>
      <c r="I4" s="39" t="s">
        <v>56</v>
      </c>
      <c r="J4" s="40">
        <v>22.32</v>
      </c>
      <c r="K4" s="24"/>
      <c r="M4" s="3"/>
    </row>
    <row r="5" spans="1:15" ht="15" customHeight="1" x14ac:dyDescent="0.25">
      <c r="A5" s="1">
        <v>43415</v>
      </c>
      <c r="B5" s="1" t="s">
        <v>10</v>
      </c>
      <c r="C5" s="26" t="s">
        <v>76</v>
      </c>
      <c r="D5" s="40">
        <v>0</v>
      </c>
      <c r="E5" s="40">
        <v>0</v>
      </c>
      <c r="F5" s="40">
        <v>31.2</v>
      </c>
      <c r="G5" s="39">
        <v>65</v>
      </c>
      <c r="H5" s="39" t="s">
        <v>32</v>
      </c>
      <c r="I5" s="39" t="s">
        <v>55</v>
      </c>
      <c r="J5" s="40">
        <v>6.8</v>
      </c>
      <c r="K5" s="24"/>
    </row>
    <row r="6" spans="1:15" ht="15" customHeight="1" x14ac:dyDescent="0.25">
      <c r="A6" s="1">
        <v>43418</v>
      </c>
      <c r="B6" s="2" t="s">
        <v>11</v>
      </c>
      <c r="C6" s="26" t="s">
        <v>76</v>
      </c>
      <c r="D6" s="40">
        <v>0</v>
      </c>
      <c r="E6" s="40">
        <v>0</v>
      </c>
      <c r="F6" s="40">
        <v>32.6</v>
      </c>
      <c r="G6" s="39">
        <v>54</v>
      </c>
      <c r="H6" s="39" t="s">
        <v>32</v>
      </c>
      <c r="I6" s="39" t="s">
        <v>55</v>
      </c>
      <c r="J6" s="40">
        <v>8</v>
      </c>
      <c r="K6" s="24"/>
      <c r="M6" s="3"/>
    </row>
    <row r="7" spans="1:15" ht="15" customHeight="1" x14ac:dyDescent="0.25">
      <c r="A7" s="1">
        <v>43421</v>
      </c>
      <c r="B7" s="2" t="s">
        <v>12</v>
      </c>
      <c r="C7" s="26" t="s">
        <v>76</v>
      </c>
      <c r="D7" s="40">
        <v>0</v>
      </c>
      <c r="E7" s="40">
        <v>0</v>
      </c>
      <c r="F7" s="40">
        <v>30.2</v>
      </c>
      <c r="G7" s="39">
        <v>66</v>
      </c>
      <c r="H7" s="39" t="s">
        <v>32</v>
      </c>
      <c r="I7" s="39" t="s">
        <v>57</v>
      </c>
      <c r="J7" s="40">
        <v>6.84</v>
      </c>
      <c r="K7" s="24"/>
      <c r="M7" s="3"/>
      <c r="N7" s="24"/>
      <c r="O7" s="24"/>
    </row>
    <row r="8" spans="1:15" x14ac:dyDescent="0.25">
      <c r="A8" s="1">
        <v>43422</v>
      </c>
      <c r="B8" s="1" t="s">
        <v>13</v>
      </c>
      <c r="C8" s="26" t="s">
        <v>76</v>
      </c>
      <c r="D8" s="40">
        <v>0</v>
      </c>
      <c r="E8" s="40">
        <v>0</v>
      </c>
      <c r="F8" s="40">
        <v>29.4</v>
      </c>
      <c r="G8" s="39">
        <v>67</v>
      </c>
      <c r="H8" s="39" t="s">
        <v>34</v>
      </c>
      <c r="I8" s="39" t="s">
        <v>55</v>
      </c>
      <c r="J8" s="40">
        <v>7.9</v>
      </c>
      <c r="K8" s="24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76</v>
      </c>
      <c r="D9" s="40">
        <v>0</v>
      </c>
      <c r="E9" s="40">
        <v>0</v>
      </c>
      <c r="F9" s="40">
        <v>29.5</v>
      </c>
      <c r="G9" s="39">
        <v>73</v>
      </c>
      <c r="H9" s="39" t="s">
        <v>34</v>
      </c>
      <c r="I9" s="39" t="s">
        <v>57</v>
      </c>
      <c r="J9" s="40">
        <v>6.8</v>
      </c>
      <c r="K9" s="24"/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76</v>
      </c>
      <c r="D10" s="40">
        <v>0</v>
      </c>
      <c r="E10" s="40">
        <v>0</v>
      </c>
      <c r="F10" s="40">
        <v>31.3</v>
      </c>
      <c r="G10" s="39">
        <v>73</v>
      </c>
      <c r="H10" s="39" t="s">
        <v>32</v>
      </c>
      <c r="I10" s="39" t="s">
        <v>71</v>
      </c>
      <c r="J10" s="40">
        <v>4.8</v>
      </c>
      <c r="K10" s="24"/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76</v>
      </c>
      <c r="D11" s="40">
        <v>0</v>
      </c>
      <c r="E11" s="40">
        <v>0</v>
      </c>
      <c r="F11" s="40">
        <v>30.2</v>
      </c>
      <c r="G11" s="39">
        <v>69</v>
      </c>
      <c r="H11" s="39" t="s">
        <v>32</v>
      </c>
      <c r="I11" s="39" t="s">
        <v>55</v>
      </c>
      <c r="J11" s="40">
        <v>4.3</v>
      </c>
      <c r="K11" s="24"/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76</v>
      </c>
      <c r="D12" s="40">
        <v>0</v>
      </c>
      <c r="E12" s="40">
        <v>0</v>
      </c>
      <c r="F12" s="40">
        <v>27.6</v>
      </c>
      <c r="G12" s="39">
        <v>71</v>
      </c>
      <c r="H12" s="39" t="s">
        <v>32</v>
      </c>
      <c r="I12" s="39" t="s">
        <v>55</v>
      </c>
      <c r="J12" s="40">
        <v>7.6</v>
      </c>
      <c r="K12" s="24"/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76</v>
      </c>
      <c r="D13" s="40">
        <v>0</v>
      </c>
      <c r="E13" s="40">
        <v>0</v>
      </c>
      <c r="F13" s="40">
        <v>29.6</v>
      </c>
      <c r="G13" s="39">
        <v>75</v>
      </c>
      <c r="H13" s="39" t="s">
        <v>34</v>
      </c>
      <c r="I13" s="39" t="s">
        <v>56</v>
      </c>
      <c r="J13" s="40">
        <v>15.84</v>
      </c>
      <c r="K13" s="24"/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76</v>
      </c>
      <c r="D14" s="40">
        <v>0</v>
      </c>
      <c r="E14" s="40">
        <v>0</v>
      </c>
      <c r="F14" s="40">
        <v>29.5</v>
      </c>
      <c r="G14" s="39">
        <v>77</v>
      </c>
      <c r="H14" s="39" t="s">
        <v>34</v>
      </c>
      <c r="I14" s="39" t="s">
        <v>55</v>
      </c>
      <c r="J14" s="40">
        <v>7.56</v>
      </c>
      <c r="K14" s="24"/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76</v>
      </c>
      <c r="D15" s="40">
        <v>0</v>
      </c>
      <c r="E15" s="40">
        <v>0</v>
      </c>
      <c r="F15" s="40">
        <v>30.3</v>
      </c>
      <c r="G15" s="39">
        <v>74</v>
      </c>
      <c r="H15" s="39" t="s">
        <v>32</v>
      </c>
      <c r="I15" s="39" t="s">
        <v>55</v>
      </c>
      <c r="J15" s="40">
        <v>9</v>
      </c>
      <c r="K15" s="24"/>
      <c r="M15" s="3"/>
      <c r="N15" s="24"/>
      <c r="O15" s="24"/>
    </row>
    <row r="16" spans="1:15" x14ac:dyDescent="0.25">
      <c r="A16" s="1">
        <v>43473</v>
      </c>
      <c r="B16" s="2" t="s">
        <v>20</v>
      </c>
      <c r="C16" s="26" t="s">
        <v>76</v>
      </c>
      <c r="D16" s="40">
        <v>0</v>
      </c>
      <c r="E16" s="40">
        <v>0</v>
      </c>
      <c r="F16" s="40">
        <v>20.7</v>
      </c>
      <c r="G16" s="39">
        <v>47</v>
      </c>
      <c r="H16" s="39" t="s">
        <v>32</v>
      </c>
      <c r="I16" s="39" t="s">
        <v>58</v>
      </c>
      <c r="J16" s="40">
        <v>10.08</v>
      </c>
      <c r="K16" s="24"/>
      <c r="M16" s="3"/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6" t="s">
        <v>76</v>
      </c>
      <c r="D17" s="40">
        <v>0</v>
      </c>
      <c r="E17" s="40">
        <v>0</v>
      </c>
      <c r="F17" s="40">
        <v>26.5</v>
      </c>
      <c r="G17" s="39">
        <v>67</v>
      </c>
      <c r="H17" s="39" t="s">
        <v>32</v>
      </c>
      <c r="I17" s="39" t="s">
        <v>62</v>
      </c>
      <c r="J17" s="40">
        <v>10.4</v>
      </c>
      <c r="K17" s="24"/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6" t="s">
        <v>76</v>
      </c>
      <c r="D18" s="40">
        <v>0</v>
      </c>
      <c r="E18" s="40">
        <v>0</v>
      </c>
      <c r="F18" s="40">
        <v>30</v>
      </c>
      <c r="G18" s="39">
        <v>53</v>
      </c>
      <c r="H18" s="39" t="s">
        <v>32</v>
      </c>
      <c r="I18" s="39" t="s">
        <v>73</v>
      </c>
      <c r="J18" s="40">
        <v>2.16</v>
      </c>
      <c r="K18" s="24"/>
    </row>
    <row r="19" spans="1:15" ht="15" customHeight="1" x14ac:dyDescent="0.25">
      <c r="A19" s="1">
        <v>43486</v>
      </c>
      <c r="B19" s="2" t="s">
        <v>23</v>
      </c>
      <c r="C19" s="26" t="s">
        <v>76</v>
      </c>
      <c r="D19" s="40">
        <v>0</v>
      </c>
      <c r="E19" s="40">
        <v>0</v>
      </c>
      <c r="F19" s="40">
        <v>30.8</v>
      </c>
      <c r="G19" s="39">
        <v>65</v>
      </c>
      <c r="H19" s="39" t="s">
        <v>33</v>
      </c>
      <c r="I19" s="39" t="s">
        <v>61</v>
      </c>
      <c r="J19" s="40">
        <v>7.56</v>
      </c>
      <c r="K19" s="24"/>
      <c r="M19" s="3"/>
    </row>
    <row r="20" spans="1:15" ht="16.5" customHeight="1" x14ac:dyDescent="0.25">
      <c r="A20" s="1">
        <v>43495</v>
      </c>
      <c r="B20" s="2" t="s">
        <v>24</v>
      </c>
      <c r="C20" s="26" t="s">
        <v>76</v>
      </c>
      <c r="D20" s="40">
        <v>0</v>
      </c>
      <c r="E20" s="40">
        <v>0</v>
      </c>
      <c r="F20" s="40">
        <v>29.3</v>
      </c>
      <c r="G20" s="39">
        <v>79</v>
      </c>
      <c r="H20" s="39" t="s">
        <v>34</v>
      </c>
      <c r="I20" s="39" t="s">
        <v>61</v>
      </c>
      <c r="J20" s="40">
        <v>7.2</v>
      </c>
      <c r="K20" s="24"/>
      <c r="M20" s="3"/>
    </row>
    <row r="21" spans="1:15" ht="15" customHeight="1" x14ac:dyDescent="0.25">
      <c r="A21" s="1">
        <v>43497</v>
      </c>
      <c r="B21" s="2" t="s">
        <v>25</v>
      </c>
      <c r="C21" s="26" t="s">
        <v>76</v>
      </c>
      <c r="D21" s="40">
        <v>0</v>
      </c>
      <c r="E21" s="40">
        <v>0</v>
      </c>
      <c r="F21" s="40">
        <v>27.4</v>
      </c>
      <c r="G21" s="39">
        <v>87</v>
      </c>
      <c r="H21" s="39" t="s">
        <v>32</v>
      </c>
      <c r="I21" s="39" t="s">
        <v>56</v>
      </c>
      <c r="J21" s="40">
        <v>24.12</v>
      </c>
      <c r="K21" s="24"/>
      <c r="M21" s="3"/>
    </row>
    <row r="22" spans="1:15" ht="15" customHeight="1" x14ac:dyDescent="0.25">
      <c r="A22" s="1">
        <v>43475</v>
      </c>
      <c r="B22" s="2" t="s">
        <v>26</v>
      </c>
      <c r="C22" s="26" t="s">
        <v>76</v>
      </c>
      <c r="D22" s="40">
        <v>0</v>
      </c>
      <c r="E22" s="40">
        <v>0</v>
      </c>
      <c r="F22" s="40">
        <v>31</v>
      </c>
      <c r="G22" s="39">
        <v>73</v>
      </c>
      <c r="H22" s="39" t="s">
        <v>32</v>
      </c>
      <c r="I22" s="39" t="s">
        <v>72</v>
      </c>
      <c r="J22" s="40">
        <v>12.24</v>
      </c>
      <c r="K22" s="24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76</v>
      </c>
      <c r="D23" s="40">
        <v>0</v>
      </c>
      <c r="E23" s="40">
        <v>0</v>
      </c>
      <c r="F23" s="40">
        <v>33.5</v>
      </c>
      <c r="G23" s="39">
        <v>50</v>
      </c>
      <c r="H23" s="39" t="s">
        <v>32</v>
      </c>
      <c r="I23" s="39" t="s">
        <v>55</v>
      </c>
      <c r="J23" s="40">
        <v>24.2</v>
      </c>
      <c r="K23" s="24"/>
      <c r="M23" s="3"/>
      <c r="N23" s="24"/>
      <c r="O23" s="24"/>
    </row>
    <row r="24" spans="1:15" x14ac:dyDescent="0.25">
      <c r="A24" s="1">
        <v>821501</v>
      </c>
      <c r="B24" s="1" t="s">
        <v>28</v>
      </c>
      <c r="C24" s="26" t="s">
        <v>76</v>
      </c>
      <c r="D24" s="40">
        <v>0</v>
      </c>
      <c r="E24" s="40">
        <v>0</v>
      </c>
      <c r="F24" s="40">
        <v>34.299999999999997</v>
      </c>
      <c r="G24" s="39">
        <v>43</v>
      </c>
      <c r="H24" s="39" t="s">
        <v>32</v>
      </c>
      <c r="I24" s="39" t="s">
        <v>55</v>
      </c>
      <c r="J24" s="40">
        <v>1.2</v>
      </c>
      <c r="K24" s="24"/>
      <c r="N24" s="24"/>
      <c r="O24" s="24"/>
    </row>
    <row r="25" spans="1:15" x14ac:dyDescent="0.25">
      <c r="A25" s="1">
        <v>721501</v>
      </c>
      <c r="B25" s="1" t="s">
        <v>29</v>
      </c>
      <c r="C25" s="26" t="s">
        <v>76</v>
      </c>
      <c r="D25" s="40">
        <v>0</v>
      </c>
      <c r="E25" s="40">
        <v>0</v>
      </c>
      <c r="F25" s="40">
        <v>33.4</v>
      </c>
      <c r="G25" s="39">
        <v>50</v>
      </c>
      <c r="H25" s="39" t="s">
        <v>32</v>
      </c>
      <c r="I25" s="39" t="s">
        <v>57</v>
      </c>
      <c r="J25" s="40">
        <v>9.6</v>
      </c>
      <c r="K25" s="24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M1:M25 H1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229</v>
      </c>
      <c r="D2" s="25">
        <v>5</v>
      </c>
      <c r="E2" s="3" t="str">
        <f>VLOOKUP(D2,$G$1:$H$19,2,FALSE)</f>
        <v>cloudy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225</v>
      </c>
      <c r="D4" s="25">
        <v>5</v>
      </c>
      <c r="E4" s="3" t="str">
        <f t="shared" si="1"/>
        <v>cloudy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0</v>
      </c>
      <c r="D5" s="25">
        <v>2</v>
      </c>
      <c r="E5" s="3" t="str">
        <f t="shared" si="1"/>
        <v>fairday</v>
      </c>
      <c r="F5" s="3" t="str">
        <f>Sheet4!L4</f>
        <v>CALM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5</v>
      </c>
      <c r="E6" s="3" t="str">
        <f t="shared" si="1"/>
        <v>cloudy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251</v>
      </c>
      <c r="D7" s="25">
        <v>6</v>
      </c>
      <c r="E7" s="3" t="str">
        <f t="shared" si="1"/>
        <v>partlycloudy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249</v>
      </c>
      <c r="D8" s="25">
        <v>2</v>
      </c>
      <c r="E8" s="3" t="str">
        <f t="shared" si="1"/>
        <v>fairday</v>
      </c>
      <c r="F8" s="3" t="str">
        <f>Sheet4!L7</f>
        <v>WSW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230</v>
      </c>
      <c r="D9" s="25">
        <v>5</v>
      </c>
      <c r="E9" s="3" t="str">
        <f t="shared" si="1"/>
        <v>cloudy</v>
      </c>
      <c r="F9" s="3" t="str">
        <f>Sheet4!L8</f>
        <v>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90</v>
      </c>
      <c r="D10" s="25">
        <v>6</v>
      </c>
      <c r="E10" s="3" t="str">
        <f t="shared" si="1"/>
        <v>partlycloudy</v>
      </c>
      <c r="F10" s="3" t="str">
        <f>Sheet4!L9</f>
        <v>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290</v>
      </c>
      <c r="D11" s="25">
        <v>6</v>
      </c>
      <c r="E11" s="3" t="str">
        <f t="shared" si="1"/>
        <v>partlycloudy</v>
      </c>
      <c r="F11" s="3" t="str">
        <f>Sheet4!L10</f>
        <v>WNW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6</v>
      </c>
      <c r="E12" s="3" t="str">
        <f t="shared" si="1"/>
        <v>partlycloudy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180</v>
      </c>
      <c r="D13" s="25">
        <v>5</v>
      </c>
      <c r="E13" s="3" t="str">
        <f t="shared" si="1"/>
        <v>cloudy</v>
      </c>
      <c r="F13" s="3" t="str">
        <f>Sheet4!L12</f>
        <v>S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229</v>
      </c>
      <c r="D14" s="25">
        <v>5</v>
      </c>
      <c r="E14" s="3" t="str">
        <f t="shared" si="1"/>
        <v>cloudy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220</v>
      </c>
      <c r="D15" s="25">
        <v>6</v>
      </c>
      <c r="E15" s="3" t="str">
        <f t="shared" si="1"/>
        <v>partlycloudy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286</v>
      </c>
      <c r="D16" s="25">
        <v>2</v>
      </c>
      <c r="E16" s="3" t="str">
        <f t="shared" si="1"/>
        <v>fairday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276</v>
      </c>
      <c r="D17" s="25">
        <v>6</v>
      </c>
      <c r="E17" s="3" t="str">
        <f t="shared" si="1"/>
        <v>partlycloudy</v>
      </c>
      <c r="F17" s="3" t="str">
        <f>Sheet4!L16</f>
        <v>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327</v>
      </c>
      <c r="D18" s="25">
        <v>2</v>
      </c>
      <c r="E18" s="3" t="str">
        <f t="shared" si="1"/>
        <v>fairday</v>
      </c>
      <c r="F18" s="3" t="str">
        <f>Sheet4!L17</f>
        <v>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264</v>
      </c>
      <c r="D19" s="25">
        <v>9</v>
      </c>
      <c r="E19" s="3" t="str">
        <f t="shared" si="1"/>
        <v>haze</v>
      </c>
      <c r="F19" s="3" t="str">
        <f>Sheet4!L18</f>
        <v>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290</v>
      </c>
      <c r="D20" s="25">
        <v>6</v>
      </c>
      <c r="E20" s="3" t="str">
        <f t="shared" si="1"/>
        <v>partlycloudy</v>
      </c>
      <c r="F20" s="3" t="str">
        <f>Sheet4!L19</f>
        <v>WNW</v>
      </c>
    </row>
    <row r="21" spans="1:14" x14ac:dyDescent="0.25">
      <c r="A21" s="36">
        <v>43497</v>
      </c>
      <c r="B21" s="38" t="s">
        <v>25</v>
      </c>
      <c r="C21" s="33">
        <v>213</v>
      </c>
      <c r="D21" s="25">
        <v>2</v>
      </c>
      <c r="E21" s="3" t="str">
        <f t="shared" si="1"/>
        <v>fairday</v>
      </c>
      <c r="F21" s="3" t="str">
        <f>Sheet4!L20</f>
        <v>SSW</v>
      </c>
    </row>
    <row r="22" spans="1:14" x14ac:dyDescent="0.25">
      <c r="A22" s="36">
        <v>43475</v>
      </c>
      <c r="B22" s="38" t="s">
        <v>26</v>
      </c>
      <c r="C22" s="33">
        <v>175</v>
      </c>
      <c r="D22" s="25">
        <v>6</v>
      </c>
      <c r="E22" s="3" t="str">
        <f t="shared" si="1"/>
        <v>partlycloudy</v>
      </c>
      <c r="F22" s="3" t="str">
        <f>Sheet4!L21</f>
        <v>S</v>
      </c>
    </row>
    <row r="23" spans="1:14" x14ac:dyDescent="0.25">
      <c r="A23" s="36">
        <v>330601</v>
      </c>
      <c r="B23" s="38" t="s">
        <v>27</v>
      </c>
      <c r="C23" s="33">
        <v>260</v>
      </c>
      <c r="D23" s="25">
        <v>2</v>
      </c>
      <c r="E23" s="3" t="str">
        <f t="shared" si="1"/>
        <v>fairday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250</v>
      </c>
      <c r="D25" s="25">
        <v>5</v>
      </c>
      <c r="E25" s="3" t="str">
        <f t="shared" si="1"/>
        <v>cloudy</v>
      </c>
      <c r="F25" s="3" t="str">
        <f>Sheet4!L24</f>
        <v>WSW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229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225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251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249</v>
      </c>
      <c r="L7" t="str">
        <f t="shared" si="0"/>
        <v>WSW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230</v>
      </c>
      <c r="L8" t="str">
        <f t="shared" si="0"/>
        <v>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90</v>
      </c>
      <c r="L9" t="str">
        <f t="shared" si="0"/>
        <v>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290</v>
      </c>
      <c r="L10" t="str">
        <f t="shared" si="0"/>
        <v>WNW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180</v>
      </c>
      <c r="L12" t="str">
        <f t="shared" si="0"/>
        <v>S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229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220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286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276</v>
      </c>
      <c r="L16" t="str">
        <f t="shared" si="0"/>
        <v>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327</v>
      </c>
      <c r="L17" t="str">
        <f t="shared" si="0"/>
        <v>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264</v>
      </c>
      <c r="L18" t="str">
        <f t="shared" si="0"/>
        <v>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290</v>
      </c>
      <c r="L19" t="str">
        <f t="shared" si="0"/>
        <v>WNW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213</v>
      </c>
      <c r="L20" t="str">
        <f t="shared" si="0"/>
        <v>SSW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175</v>
      </c>
      <c r="L21" t="str">
        <f t="shared" si="0"/>
        <v>S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260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2026-07-21T12:33:41Z</dcterms:modified>
</cp:coreProperties>
</file>