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8FDDD407-6927-4426-9261-B748E675807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<sst xmlns="http://schemas.openxmlformats.org/spreadsheetml/2006/main" count="645" uniqueCount="89">
  <si>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</si>
  <si>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</si>
  <si>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</si>
  <si>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</si>
  <si>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</si>
  <si>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</si>
  <si>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</si>
  <si>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</si>
  <si>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</si>
  <si>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</si>
  <si>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</si>
  <si>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</si>
  <si>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</si>
  <si>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</si>
  <si>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</si>
  <si>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</si>
  <si>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</si>
  <si>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</si>
  <si>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</si>
  <si>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</si>
  <si>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</si>
  <si>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</si>
  <si>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</si>
  <si>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</si>
  <si>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</si>
  <si>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</si>
  <si>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</si>
  <si>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</si>
  <si>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</si>
  <si>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</si>
  <si>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</si>
  <si>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</si>
  <si>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</si>
  <si>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</si>
  <si>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</si>
  <si>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</si>
  <si>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</si>
  <si>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</si>
  <si>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</si>
  <si>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</si>
  <si>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</si>
  <si>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</si>
  <si>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</si>
  <si>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</si>
  <si>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</si>
  <si>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</si>
  <si>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</si>
  <si>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</si>
  <si>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</si>
  <si>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</si>
  <si>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</si>
  <si>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</si>
  <si>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</si>
  <si>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</si>
  <si>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</si>
  <si>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</si>
  <si>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</si>
  <si>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</si>
  <si>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</si>
  <si>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</si>
  <si>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</si>
  <si>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</si>
  <si>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</si>
  <si>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</si>
  <si>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</si>
  <si>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</si>
  <si>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</si>
  <si>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</si>
  <si>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</si>
  <si>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</si>
  <si>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</si>
  <si>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</si>
  <si>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</si>
  <si>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</si>
  <si>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</si>
  <si>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</si>
  <si>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</si>
  <si>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2026-08-20 1730</t>
  </si>
  <si>
    <t>0.0</t>
  </si>
  <si>
    <t>0.1</t>
  </si>
  <si>
    <t>0.3</t>
  </si>
  <si>
    <t>0.4</t>
  </si>
  <si>
    <t>1.0</t>
  </si>
  <si>
    <t>31.0</t>
  </si>
  <si>
    <t>32.0</t>
  </si>
  <si>
    <t>28.0</t>
  </si>
  <si>
    <t>4.0</t>
  </si>
  <si>
    <t>9.0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</si>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</sst>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H29" sqref="H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24" t="s">
        <v>78</v>
      </c>
      <c r="E2" s="24" t="s">
        <v>78</v>
      </c>
      <c r="F2" s="24">
        <v>29.5</v>
      </c>
      <c r="G2" s="24">
        <v>73</v>
      </c>
      <c r="H2" s="24" t="s">
        <v>32</v>
      </c>
      <c r="I2" s="24" t="s">
        <v>56</v>
      </c>
      <c r="J2" s="24">
        <v>13.3</v>
      </c>
      <c r="K2" s="24"/>
      <c r="M2" s="3"/>
    </row>
    <row r="3" spans="1:15" x14ac:dyDescent="0.25">
      <c r="A3" s="3">
        <v>43410</v>
      </c>
      <c r="B3" s="3" t="s">
        <v>8</v>
      </c>
      <c r="C3" s="26" t="s">
        <v>77</v>
      </c>
      <c r="D3" s="24" t="s">
        <v>78</v>
      </c>
      <c r="E3" s="24" t="s">
        <v>78</v>
      </c>
      <c r="F3" s="24" t="s">
        <v>83</v>
      </c>
      <c r="G3" s="24">
        <v>72</v>
      </c>
      <c r="H3" s="24" t="s">
        <v>35</v>
      </c>
      <c r="I3" s="24" t="s">
        <v>55</v>
      </c>
      <c r="J3" s="24" t="s">
        <v>86</v>
      </c>
      <c r="K3" s="24"/>
      <c r="M3" s="3"/>
    </row>
    <row r="4" spans="1:15" ht="15.75" customHeight="1" x14ac:dyDescent="0.25">
      <c r="A4" s="1">
        <v>43413</v>
      </c>
      <c r="B4" s="2" t="s">
        <v>9</v>
      </c>
      <c r="C4" s="26" t="s">
        <v>77</v>
      </c>
      <c r="D4" s="24" t="s">
        <v>78</v>
      </c>
      <c r="E4" s="24" t="s">
        <v>78</v>
      </c>
      <c r="F4" s="24">
        <v>28.2</v>
      </c>
      <c r="G4" s="24">
        <v>82</v>
      </c>
      <c r="H4" s="24" t="s">
        <v>35</v>
      </c>
      <c r="I4" s="24" t="s">
        <v>56</v>
      </c>
      <c r="J4" s="24">
        <v>17.600000000000001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24" t="s">
        <v>78</v>
      </c>
      <c r="E5" s="24" t="s">
        <v>78</v>
      </c>
      <c r="F5" s="24" t="s">
        <v>84</v>
      </c>
      <c r="G5" s="24">
        <v>61</v>
      </c>
      <c r="H5" s="24" t="s">
        <v>35</v>
      </c>
      <c r="I5" s="24" t="s">
        <v>72</v>
      </c>
      <c r="J5" s="24">
        <v>4.3</v>
      </c>
      <c r="M5" s="3"/>
    </row>
    <row r="6" spans="1:15" x14ac:dyDescent="0.25">
      <c r="A6" s="1">
        <v>43418</v>
      </c>
      <c r="B6" s="2" t="s">
        <v>11</v>
      </c>
      <c r="C6" s="26" t="s">
        <v>77</v>
      </c>
      <c r="D6" s="24" t="s">
        <v>78</v>
      </c>
      <c r="E6" s="24" t="s">
        <v>78</v>
      </c>
      <c r="F6" s="24">
        <v>32.4</v>
      </c>
      <c r="G6" s="24">
        <v>67</v>
      </c>
      <c r="H6" s="24" t="s">
        <v>35</v>
      </c>
      <c r="I6" s="24" t="s">
        <v>55</v>
      </c>
      <c r="J6" s="24" t="s">
        <v>86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24" t="s">
        <v>78</v>
      </c>
      <c r="E7" s="24" t="s">
        <v>78</v>
      </c>
      <c r="F7" s="24">
        <v>30.9</v>
      </c>
      <c r="G7" s="24">
        <v>63</v>
      </c>
      <c r="H7" s="24" t="s">
        <v>34</v>
      </c>
      <c r="I7" s="24" t="s">
        <v>57</v>
      </c>
      <c r="J7" s="24" t="s">
        <v>87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24" t="s">
        <v>78</v>
      </c>
      <c r="E8" s="24" t="s">
        <v>78</v>
      </c>
      <c r="F8" s="24">
        <v>30.5</v>
      </c>
      <c r="G8" s="24">
        <v>64</v>
      </c>
      <c r="H8" s="24" t="s">
        <v>34</v>
      </c>
      <c r="I8" s="24" t="s">
        <v>55</v>
      </c>
      <c r="J8" s="24">
        <v>9.4</v>
      </c>
      <c r="K8" s="24"/>
      <c r="M8" s="3"/>
      <c r="N8" s="24"/>
      <c r="O8" s="24"/>
    </row>
    <row r="9" spans="1:15" ht="16.5" customHeight="1" x14ac:dyDescent="0.25">
      <c r="A9" s="1">
        <v>43424</v>
      </c>
      <c r="B9" s="1" t="s">
        <v>14</v>
      </c>
      <c r="C9" s="26" t="s">
        <v>77</v>
      </c>
      <c r="D9" s="24" t="s">
        <v>78</v>
      </c>
      <c r="E9" s="24" t="s">
        <v>78</v>
      </c>
      <c r="F9" s="24">
        <v>29.4</v>
      </c>
      <c r="G9" s="24">
        <v>75</v>
      </c>
      <c r="H9" s="24" t="s">
        <v>34</v>
      </c>
      <c r="I9" s="24" t="s">
        <v>57</v>
      </c>
      <c r="J9" s="24">
        <v>7.6</v>
      </c>
      <c r="M9" s="3"/>
      <c r="N9" s="24"/>
      <c r="O9" s="24"/>
    </row>
    <row r="10" spans="1:15" ht="18" customHeight="1" x14ac:dyDescent="0.25">
      <c r="A10" s="1">
        <v>43436</v>
      </c>
      <c r="B10" s="2" t="s">
        <v>15</v>
      </c>
      <c r="C10" s="26" t="s">
        <v>77</v>
      </c>
      <c r="D10" s="24" t="s">
        <v>78</v>
      </c>
      <c r="E10" s="24" t="s">
        <v>78</v>
      </c>
      <c r="F10" s="24">
        <v>30.9</v>
      </c>
      <c r="G10" s="24">
        <v>81</v>
      </c>
      <c r="H10" s="24" t="s">
        <v>34</v>
      </c>
      <c r="I10" s="24" t="s">
        <v>67</v>
      </c>
      <c r="J10" s="24">
        <v>6.8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77</v>
      </c>
      <c r="D11" s="24" t="s">
        <v>78</v>
      </c>
      <c r="E11" s="24">
        <v>0.2</v>
      </c>
      <c r="F11" s="24">
        <v>28.8</v>
      </c>
      <c r="G11" s="24">
        <v>75</v>
      </c>
      <c r="H11" s="24" t="s">
        <v>34</v>
      </c>
      <c r="I11" s="24" t="s">
        <v>55</v>
      </c>
      <c r="J11" s="24">
        <v>9.4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24" t="s">
        <v>81</v>
      </c>
      <c r="E12" s="24">
        <v>0.4</v>
      </c>
      <c r="F12" s="24">
        <v>25.7</v>
      </c>
      <c r="G12" s="24">
        <v>82</v>
      </c>
      <c r="H12" s="24" t="s">
        <v>35</v>
      </c>
      <c r="I12" s="24" t="s">
        <v>57</v>
      </c>
      <c r="J12" s="24">
        <v>7.9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24" t="s">
        <v>78</v>
      </c>
      <c r="E13" s="24" t="s">
        <v>76</v>
      </c>
      <c r="F13" s="24">
        <v>29.2</v>
      </c>
      <c r="G13" s="24">
        <v>76</v>
      </c>
      <c r="H13" s="24" t="s">
        <v>35</v>
      </c>
      <c r="I13" s="24" t="s">
        <v>55</v>
      </c>
      <c r="J13" s="24">
        <v>14.8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77</v>
      </c>
      <c r="D14" s="24" t="s">
        <v>80</v>
      </c>
      <c r="E14" s="24">
        <v>0.4</v>
      </c>
      <c r="F14" s="24">
        <v>29.1</v>
      </c>
      <c r="G14" s="24">
        <v>78</v>
      </c>
      <c r="H14" s="24" t="s">
        <v>34</v>
      </c>
      <c r="I14" s="24" t="s">
        <v>57</v>
      </c>
      <c r="J14" s="24">
        <v>8.6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24" t="s">
        <v>78</v>
      </c>
      <c r="E15" s="24" t="s">
        <v>78</v>
      </c>
      <c r="F15" s="24">
        <v>29.8</v>
      </c>
      <c r="G15" s="24">
        <v>75</v>
      </c>
      <c r="H15" s="24" t="s">
        <v>34</v>
      </c>
      <c r="I15" s="24" t="s">
        <v>55</v>
      </c>
      <c r="J15" s="24" t="s">
        <v>88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77</v>
      </c>
      <c r="D16" s="24" t="s">
        <v>79</v>
      </c>
      <c r="E16" s="24">
        <v>0.2</v>
      </c>
      <c r="F16" s="24">
        <v>16.8</v>
      </c>
      <c r="G16" s="24">
        <v>94</v>
      </c>
      <c r="H16" s="24" t="s">
        <v>35</v>
      </c>
      <c r="I16" s="24" t="s">
        <v>58</v>
      </c>
      <c r="J16" s="24">
        <v>16.2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77</v>
      </c>
      <c r="D17" s="24" t="s">
        <v>78</v>
      </c>
      <c r="E17" s="24" t="s">
        <v>78</v>
      </c>
      <c r="F17" s="24">
        <v>24.4</v>
      </c>
      <c r="G17" s="24">
        <v>67</v>
      </c>
      <c r="H17" s="24" t="s">
        <v>34</v>
      </c>
      <c r="I17" s="24" t="s">
        <v>57</v>
      </c>
      <c r="J17" s="24">
        <v>15.1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24" t="s">
        <v>78</v>
      </c>
      <c r="E18" s="24">
        <v>2.2999999999999998</v>
      </c>
      <c r="F18" s="24" t="s">
        <v>85</v>
      </c>
      <c r="G18" s="24">
        <v>63</v>
      </c>
      <c r="H18" s="24" t="s">
        <v>34</v>
      </c>
      <c r="I18" s="24" t="s">
        <v>74</v>
      </c>
      <c r="J18" s="24">
        <v>2.5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77</v>
      </c>
      <c r="D19" s="24" t="s">
        <v>78</v>
      </c>
      <c r="E19" s="24" t="s">
        <v>82</v>
      </c>
      <c r="F19" s="24">
        <v>27.5</v>
      </c>
      <c r="G19" s="24">
        <v>92</v>
      </c>
      <c r="H19" s="24" t="s">
        <v>35</v>
      </c>
      <c r="I19" s="24" t="s">
        <v>68</v>
      </c>
      <c r="J19" s="24">
        <v>4.7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77</v>
      </c>
      <c r="D20" s="24" t="s">
        <v>78</v>
      </c>
      <c r="E20" s="24" t="s">
        <v>76</v>
      </c>
      <c r="F20" s="24">
        <v>28.2</v>
      </c>
      <c r="G20" s="24">
        <v>87</v>
      </c>
      <c r="H20" s="24" t="s">
        <v>34</v>
      </c>
      <c r="I20" s="24" t="s">
        <v>57</v>
      </c>
      <c r="J20" s="24">
        <v>14.4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24" t="s">
        <v>78</v>
      </c>
      <c r="E21" s="24" t="s">
        <v>78</v>
      </c>
      <c r="F21" s="24" t="s">
        <v>85</v>
      </c>
      <c r="G21" s="24">
        <v>85</v>
      </c>
      <c r="H21" s="24" t="s">
        <v>34</v>
      </c>
      <c r="I21" s="24" t="s">
        <v>55</v>
      </c>
      <c r="J21" s="24">
        <v>21.2</v>
      </c>
      <c r="M21" s="3"/>
    </row>
    <row r="22" spans="1:15" ht="15.75" customHeight="1" x14ac:dyDescent="0.25">
      <c r="A22" s="1">
        <v>43475</v>
      </c>
      <c r="B22" s="2" t="s">
        <v>26</v>
      </c>
      <c r="C22" s="26" t="s">
        <v>77</v>
      </c>
      <c r="D22" s="24" t="s">
        <v>78</v>
      </c>
      <c r="E22" s="24" t="s">
        <v>78</v>
      </c>
      <c r="F22" s="24">
        <v>31.3</v>
      </c>
      <c r="G22" s="24">
        <v>69</v>
      </c>
      <c r="H22" s="24" t="s">
        <v>35</v>
      </c>
      <c r="I22" s="24" t="s">
        <v>56</v>
      </c>
      <c r="J22" s="24">
        <v>11.5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24" t="s">
        <v>78</v>
      </c>
      <c r="E23" s="24" t="s">
        <v>78</v>
      </c>
      <c r="F23" s="24">
        <v>29.6</v>
      </c>
      <c r="G23" s="24">
        <v>72</v>
      </c>
      <c r="H23" s="24" t="s">
        <v>34</v>
      </c>
      <c r="I23" s="24" t="s">
        <v>55</v>
      </c>
      <c r="J23" s="24">
        <v>17.2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24" t="s">
        <v>78</v>
      </c>
      <c r="E24" s="24" t="s">
        <v>78</v>
      </c>
      <c r="F24" s="24">
        <v>32.4</v>
      </c>
      <c r="G24" s="24">
        <v>53</v>
      </c>
      <c r="H24" s="24" t="s">
        <v>34</v>
      </c>
      <c r="I24" s="24" t="s">
        <v>55</v>
      </c>
      <c r="J24" s="24">
        <v>4.2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77</v>
      </c>
      <c r="D25" s="24" t="s">
        <v>78</v>
      </c>
      <c r="E25" s="24" t="s">
        <v>78</v>
      </c>
      <c r="F25" s="24">
        <v>33.1</v>
      </c>
      <c r="G25" s="24">
        <v>52</v>
      </c>
      <c r="H25" s="24" t="s">
        <v>35</v>
      </c>
      <c r="I25" s="24" t="s">
        <v>61</v>
      </c>
      <c r="J25" s="24" t="s">
        <v>88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8:I8 H9:H10 H3:H7 H1:I2 H10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I1:I2 I10:I25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</v>
      </c>
      <c r="D2" s="25">
        <v>2</v>
      </c>
      <c r="E2" s="3" t="str">
        <f>VLOOKUP(D2,$G$1:$H$19,2,FALSE)</f>
        <v>fairday</v>
      </c>
      <c r="F2" s="3" t="str">
        <f>Sheet4!L1</f>
        <v>N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3</v>
      </c>
      <c r="D3" s="25">
        <v>5</v>
      </c>
      <c r="E3" s="3" t="str">
        <f t="shared" ref="E3:E25" si="1">VLOOKUP(D3,$G$1:$H$19,2,FALSE)</f>
        <v>cloudy</v>
      </c>
      <c r="F3" s="3" t="str">
        <f>Sheet4!L2</f>
        <v>N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</v>
      </c>
      <c r="D4" s="25">
        <v>5</v>
      </c>
      <c r="E4" s="3" t="str">
        <f t="shared" si="1"/>
        <v>cloudy</v>
      </c>
      <c r="F4" s="3" t="str">
        <f>Sheet4!L3</f>
        <v>N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</v>
      </c>
      <c r="D5" s="25">
        <v>5</v>
      </c>
      <c r="E5" s="3" t="str">
        <f t="shared" si="1"/>
        <v>cloudy</v>
      </c>
      <c r="F5" s="3" t="str">
        <f>Sheet4!L4</f>
        <v>N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</v>
      </c>
      <c r="D6" s="25">
        <v>5</v>
      </c>
      <c r="E6" s="3" t="str">
        <f t="shared" si="1"/>
        <v>cloudy</v>
      </c>
      <c r="F6" s="3" t="str">
        <f>Sheet4!L5</f>
        <v>N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3</v>
      </c>
      <c r="D7" s="25">
        <v>6</v>
      </c>
      <c r="E7" s="3" t="str">
        <f t="shared" si="1"/>
        <v>partlycloudy</v>
      </c>
      <c r="F7" s="3" t="str">
        <f>Sheet4!L6</f>
        <v>N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</v>
      </c>
      <c r="D8" s="25">
        <v>6</v>
      </c>
      <c r="E8" s="3" t="str">
        <f t="shared" si="1"/>
        <v>partlycloudy</v>
      </c>
      <c r="F8" s="3" t="str">
        <f>Sheet4!L7</f>
        <v>N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</v>
      </c>
      <c r="D9" s="25">
        <v>6</v>
      </c>
      <c r="E9" s="3" t="str">
        <f t="shared" si="1"/>
        <v>partlycloudy</v>
      </c>
      <c r="F9" s="3" t="str">
        <f>Sheet4!L8</f>
        <v>N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</v>
      </c>
      <c r="D10" s="25">
        <v>6</v>
      </c>
      <c r="E10" s="3" t="str">
        <f t="shared" si="1"/>
        <v>partlycloudy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</v>
      </c>
      <c r="D11" s="25">
        <v>6</v>
      </c>
      <c r="E11" s="3" t="str">
        <f t="shared" si="1"/>
        <v>partlycloudy</v>
      </c>
      <c r="F11" s="3" t="str">
        <f>Sheet4!L10</f>
        <v>N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</v>
      </c>
      <c r="D12" s="25">
        <v>5</v>
      </c>
      <c r="E12" s="3" t="str">
        <f t="shared" si="1"/>
        <v>cloudy</v>
      </c>
      <c r="F12" s="3" t="str">
        <f>Sheet4!L11</f>
        <v>NNE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/>
      <c r="D13" s="25">
        <v>5</v>
      </c>
      <c r="E13" s="3" t="str">
        <f t="shared" si="1"/>
        <v>cloudy</v>
      </c>
      <c r="F13" s="3" t="str">
        <f>Sheet4!L12</f>
        <v>CALM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</v>
      </c>
      <c r="D14" s="25">
        <v>6</v>
      </c>
      <c r="E14" s="3" t="str">
        <f t="shared" si="1"/>
        <v>partlycloudy</v>
      </c>
      <c r="F14" s="3" t="str">
        <f>Sheet4!L13</f>
        <v>N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/>
      <c r="D15" s="25">
        <v>6</v>
      </c>
      <c r="E15" s="3" t="str">
        <f t="shared" si="1"/>
        <v>partlycloudy</v>
      </c>
      <c r="F15" s="3" t="str">
        <f>Sheet4!L14</f>
        <v>CALM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50</v>
      </c>
      <c r="D16" s="25">
        <v>5</v>
      </c>
      <c r="E16" s="3" t="str">
        <f t="shared" si="1"/>
        <v>cloudy</v>
      </c>
      <c r="F16" s="3" t="str">
        <f>Sheet4!L15</f>
        <v>NE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</v>
      </c>
      <c r="D17" s="25">
        <v>6</v>
      </c>
      <c r="E17" s="3" t="str">
        <f t="shared" si="1"/>
        <v>partlycloudy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</v>
      </c>
      <c r="D18" s="25">
        <v>6</v>
      </c>
      <c r="E18" s="3" t="str">
        <f t="shared" si="1"/>
        <v>partlycloudy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5</v>
      </c>
      <c r="D19" s="25">
        <v>5</v>
      </c>
      <c r="E19" s="3" t="str">
        <f t="shared" si="1"/>
        <v>cloudy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</v>
      </c>
      <c r="D20" s="25">
        <v>6</v>
      </c>
      <c r="E20" s="3" t="str">
        <f t="shared" si="1"/>
        <v>partlycloudy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3</v>
      </c>
      <c r="D21" s="25">
        <v>6</v>
      </c>
      <c r="E21" s="3" t="str">
        <f t="shared" si="1"/>
        <v>partlycloudy</v>
      </c>
      <c r="F21" s="3" t="str">
        <f>Sheet4!L20</f>
        <v>N</v>
      </c>
    </row>
    <row r="22" spans="1:14" x14ac:dyDescent="0.25">
      <c r="A22" s="36">
        <v>43475</v>
      </c>
      <c r="B22" s="38" t="s">
        <v>26</v>
      </c>
      <c r="C22" s="33">
        <v>3</v>
      </c>
      <c r="D22" s="25">
        <v>5</v>
      </c>
      <c r="E22" s="3" t="str">
        <f t="shared" si="1"/>
        <v>cloudy</v>
      </c>
      <c r="F22" s="3" t="str">
        <f>Sheet4!L21</f>
        <v>N</v>
      </c>
    </row>
    <row r="23" spans="1:14" x14ac:dyDescent="0.25">
      <c r="A23" s="36">
        <v>330601</v>
      </c>
      <c r="B23" s="38" t="s">
        <v>27</v>
      </c>
      <c r="C23" s="33">
        <v>3</v>
      </c>
      <c r="D23" s="25">
        <v>6</v>
      </c>
      <c r="E23" s="3" t="str">
        <f t="shared" si="1"/>
        <v>partlycloudy</v>
      </c>
      <c r="F23" s="3" t="str">
        <f>Sheet4!L22</f>
        <v>N</v>
      </c>
    </row>
    <row r="24" spans="1:14" x14ac:dyDescent="0.25">
      <c r="A24" s="36">
        <v>821501</v>
      </c>
      <c r="B24" s="36" t="s">
        <v>28</v>
      </c>
      <c r="C24" s="31">
        <v>2</v>
      </c>
      <c r="D24" s="25">
        <v>6</v>
      </c>
      <c r="E24" s="3" t="str">
        <f t="shared" si="1"/>
        <v>partlycloudy</v>
      </c>
      <c r="F24" s="3" t="str">
        <f>Sheet4!L23</f>
        <v>N</v>
      </c>
    </row>
    <row r="25" spans="1:14" x14ac:dyDescent="0.25">
      <c r="A25" s="36">
        <v>721501</v>
      </c>
      <c r="B25" s="36" t="s">
        <v>29</v>
      </c>
      <c r="C25" s="31">
        <v>3</v>
      </c>
      <c r="D25" s="25">
        <v>5</v>
      </c>
      <c r="E25" s="3" t="str">
        <f t="shared" si="1"/>
        <v>cloudy</v>
      </c>
      <c r="F25" s="3" t="str">
        <f>Sheet4!L24</f>
        <v>N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</v>
      </c>
      <c r="L1" t="str">
        <f>VLOOKUP(K1,A$2:B$363,2,FALSE)</f>
        <v>N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3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</v>
      </c>
      <c r="L3" t="str">
        <f t="shared" si="0"/>
        <v>N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</v>
      </c>
      <c r="L4" t="str">
        <f t="shared" si="0"/>
        <v>N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</v>
      </c>
      <c r="L5" t="str">
        <f t="shared" si="0"/>
        <v>N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3</v>
      </c>
      <c r="L6" t="str">
        <f t="shared" si="0"/>
        <v>N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</v>
      </c>
      <c r="L7" t="str">
        <f t="shared" si="0"/>
        <v>N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</v>
      </c>
      <c r="L8" t="str">
        <f t="shared" si="0"/>
        <v>N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</v>
      </c>
      <c r="L10" t="str">
        <f t="shared" si="0"/>
        <v>N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</v>
      </c>
      <c r="L11" t="str">
        <f t="shared" si="0"/>
        <v>NNE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0</v>
      </c>
      <c r="L12" t="str">
        <f t="shared" si="0"/>
        <v>CALM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</v>
      </c>
      <c r="L13" t="str">
        <f t="shared" si="0"/>
        <v>N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0</v>
      </c>
      <c r="L14" t="str">
        <f t="shared" si="0"/>
        <v>CALM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50</v>
      </c>
      <c r="L15" t="str">
        <f t="shared" si="0"/>
        <v>NE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5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3</v>
      </c>
      <c r="L20" t="str">
        <f t="shared" si="0"/>
        <v>N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3</v>
      </c>
      <c r="L21" t="str">
        <f t="shared" si="0"/>
        <v>N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3</v>
      </c>
      <c r="L22" t="str">
        <f t="shared" si="0"/>
        <v>N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</v>
      </c>
      <c r="L23" t="str">
        <f t="shared" si="0"/>
        <v>N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3</v>
      </c>
      <c r="L24" t="str">
        <f t="shared" si="0"/>
        <v>N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2026-08-20T12:37:10Z</dcterms:modified>
</cp:coreProperties>
</file>