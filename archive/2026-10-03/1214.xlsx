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38BC6954-48E4-49BD-87F7-E1BC45DC8C6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<sst xmlns="http://schemas.openxmlformats.org/spreadsheetml/2006/main" count="658" uniqueCount="91">
  <si>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</si>
  <si>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</si>
  <si>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</si>
  <si>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</si>
  <si>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</si>
  <si>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</si>
  <si>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</si>
  <si>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</si>
  <si>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</si>
  <si>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</si>
  <si>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</si>
  <si>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</si>
  <si>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</si>
  <si>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</si>
  <si>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</si>
  <si>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</si>
  <si>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</si>
  <si>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</si>
  <si>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</si>
  <si>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</si>
  <si>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</si>
  <si>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</si>
  <si>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</si>
  <si>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</si>
  <si>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</si>
  <si>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</si>
  <si>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</si>
  <si>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</si>
  <si>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</si>
  <si>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</si>
  <si>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</si>
  <si>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</si>
  <si>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</si>
  <si>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</si>
  <si>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</si>
  <si>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</si>
  <si>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</si>
  <si>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</si>
  <si>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</si>
  <si>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</si>
  <si>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</si>
  <si>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</si>
  <si>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</si>
  <si>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</si>
  <si>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</si>
  <si>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</si>
  <si>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</si>
  <si>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</si>
  <si>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</si>
  <si>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</si>
  <si>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</si>
  <si>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</si>
  <si>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</si>
  <si>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</si>
  <si>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</si>
  <si>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</si>
  <si>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</si>
  <si>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</si>
  <si>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</si>
  <si>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</si>
  <si>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</si>
  <si>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</si>
  <si>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</si>
  <si>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</si>
  <si>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</si>
  <si>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</si>
  <si>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</si>
  <si>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</si>
  <si>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</si>
  <si>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</si>
  <si>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</si>
  <si>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</si>
  <si>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</si>
  <si>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</si>
  <si>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</si>
  <si>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</si>
  <si>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</si>
  <si>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</si>
  <si>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</si>
  <si>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</si>
  <si>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</si>
  <si>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5.0</t>
  </si>
  <si>
    <t>33.0</t>
  </si>
  <si>
    <t>32.0</t>
  </si>
  <si>
    <t>2026-10-03 1430</t>
  </si>
  <si>
    <t>1010.0</t>
  </si>
  <si>
    <t>Trace</t>
  </si>
  <si>
    <t>34.0</t>
  </si>
  <si>
    <t>24.0</t>
  </si>
  <si>
    <t>9.0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</si>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</sst>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1" sqref="J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86</v>
      </c>
      <c r="E2" s="35" t="s">
        <v>86</v>
      </c>
      <c r="F2" s="24">
        <v>32.299999999999997</v>
      </c>
      <c r="G2" s="24">
        <v>59</v>
      </c>
      <c r="H2" s="35" t="s">
        <v>34</v>
      </c>
      <c r="I2" s="35" t="s">
        <v>74</v>
      </c>
      <c r="J2" s="24" t="s">
        <v>89</v>
      </c>
      <c r="K2" s="24">
        <v>5</v>
      </c>
      <c r="L2" s="24">
        <v>1011.4</v>
      </c>
      <c r="M2" s="24">
        <v>23.5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24">
        <v>30.5</v>
      </c>
      <c r="G3" s="24">
        <v>69</v>
      </c>
      <c r="H3" s="35" t="s">
        <v>32</v>
      </c>
      <c r="I3" s="35" t="s">
        <v>62</v>
      </c>
      <c r="J3" s="24" t="s">
        <v>90</v>
      </c>
      <c r="K3" s="24">
        <v>1</v>
      </c>
      <c r="L3" s="24" t="s">
        <v>78</v>
      </c>
      <c r="M3" s="24">
        <v>24.3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>
        <v>32.5</v>
      </c>
      <c r="G4" s="24">
        <v>66</v>
      </c>
      <c r="H4" s="35" t="s">
        <v>32</v>
      </c>
      <c r="I4" s="35" t="s">
        <v>61</v>
      </c>
      <c r="J4" s="24">
        <v>11.9</v>
      </c>
      <c r="K4" s="24">
        <v>3</v>
      </c>
      <c r="L4" s="24">
        <v>1011.2</v>
      </c>
      <c r="M4" s="24">
        <v>25.3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35">
        <v>33.200000000000003</v>
      </c>
      <c r="G5" s="35">
        <v>58</v>
      </c>
      <c r="H5" s="35" t="s">
        <v>34</v>
      </c>
      <c r="I5" s="35" t="s">
        <v>66</v>
      </c>
      <c r="J5" s="35" t="s">
        <v>79</v>
      </c>
      <c r="K5" s="35">
        <v>6</v>
      </c>
      <c r="L5" s="35">
        <v>1011.3</v>
      </c>
      <c r="M5" s="35">
        <v>23.8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24">
        <v>31.6</v>
      </c>
      <c r="G6" s="24">
        <v>71</v>
      </c>
      <c r="H6" s="35" t="s">
        <v>34</v>
      </c>
      <c r="I6" s="35" t="s">
        <v>67</v>
      </c>
      <c r="J6" s="24">
        <v>8.1999999999999993</v>
      </c>
      <c r="K6" s="24">
        <v>4</v>
      </c>
      <c r="L6" s="24">
        <v>1011.8</v>
      </c>
      <c r="M6" s="24">
        <v>25.7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 t="s">
        <v>87</v>
      </c>
      <c r="G7" s="24">
        <v>47</v>
      </c>
      <c r="H7" s="35" t="s">
        <v>34</v>
      </c>
      <c r="I7" s="35" t="s">
        <v>70</v>
      </c>
      <c r="J7" s="24">
        <v>3.6</v>
      </c>
      <c r="K7" s="24">
        <v>5</v>
      </c>
      <c r="L7" s="24">
        <v>1010.5</v>
      </c>
      <c r="M7" s="24">
        <v>20.8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33.299999999999997</v>
      </c>
      <c r="G8" s="24">
        <v>49</v>
      </c>
      <c r="H8" s="35" t="s">
        <v>32</v>
      </c>
      <c r="I8" s="35" t="s">
        <v>58</v>
      </c>
      <c r="J8" s="24">
        <v>6.8</v>
      </c>
      <c r="K8" s="24">
        <v>2</v>
      </c>
      <c r="L8" s="24">
        <v>1010.6</v>
      </c>
      <c r="M8" s="24">
        <v>21.3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 t="s">
        <v>83</v>
      </c>
      <c r="G9" s="24">
        <v>66</v>
      </c>
      <c r="H9" s="35" t="s">
        <v>32</v>
      </c>
      <c r="I9" s="35" t="s">
        <v>55</v>
      </c>
      <c r="J9" s="24">
        <v>4.3</v>
      </c>
      <c r="K9" s="24">
        <v>3</v>
      </c>
      <c r="L9" s="24">
        <v>1011.4</v>
      </c>
      <c r="M9" s="24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32.6</v>
      </c>
      <c r="G10" s="24">
        <v>69</v>
      </c>
      <c r="H10" s="35" t="s">
        <v>32</v>
      </c>
      <c r="I10" s="35" t="s">
        <v>67</v>
      </c>
      <c r="J10" s="24">
        <v>16.600000000000001</v>
      </c>
      <c r="K10" s="24">
        <v>1</v>
      </c>
      <c r="L10" s="24">
        <v>1011.5</v>
      </c>
      <c r="M10" s="24">
        <v>26.1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24" t="s">
        <v>82</v>
      </c>
      <c r="G11" s="24">
        <v>59</v>
      </c>
      <c r="H11" s="35" t="s">
        <v>34</v>
      </c>
      <c r="I11" s="35" t="s">
        <v>61</v>
      </c>
      <c r="J11" s="24" t="s">
        <v>81</v>
      </c>
      <c r="K11" s="24">
        <v>5</v>
      </c>
      <c r="L11" s="24">
        <v>1010.3</v>
      </c>
      <c r="M11" s="24">
        <v>23.8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86</v>
      </c>
      <c r="E12" s="35" t="s">
        <v>86</v>
      </c>
      <c r="F12" s="24">
        <v>28.5</v>
      </c>
      <c r="G12" s="24">
        <v>71</v>
      </c>
      <c r="H12" s="35" t="s">
        <v>45</v>
      </c>
      <c r="I12" s="35" t="s">
        <v>55</v>
      </c>
      <c r="J12" s="24">
        <v>6.1</v>
      </c>
      <c r="K12" s="24">
        <v>7</v>
      </c>
      <c r="L12" s="24">
        <v>1011.2</v>
      </c>
      <c r="M12" s="24">
        <v>22.8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24">
        <v>31.4</v>
      </c>
      <c r="G13" s="24">
        <v>69</v>
      </c>
      <c r="H13" s="35" t="s">
        <v>32</v>
      </c>
      <c r="I13" s="35" t="s">
        <v>57</v>
      </c>
      <c r="J13" s="24">
        <v>19.399999999999999</v>
      </c>
      <c r="K13" s="24">
        <v>1</v>
      </c>
      <c r="L13" s="24">
        <v>1011.6</v>
      </c>
      <c r="M13" s="24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24">
        <v>30.6</v>
      </c>
      <c r="G14" s="24">
        <v>67</v>
      </c>
      <c r="H14" s="35" t="s">
        <v>34</v>
      </c>
      <c r="I14" s="35" t="s">
        <v>58</v>
      </c>
      <c r="J14" s="24">
        <v>9.6999999999999993</v>
      </c>
      <c r="K14" s="24">
        <v>4</v>
      </c>
      <c r="L14" s="24">
        <v>1011.9</v>
      </c>
      <c r="M14" s="24">
        <v>23.7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24">
        <v>31.7</v>
      </c>
      <c r="G15" s="24">
        <v>67</v>
      </c>
      <c r="H15" s="35" t="s">
        <v>32</v>
      </c>
      <c r="I15" s="35" t="s">
        <v>55</v>
      </c>
      <c r="J15" s="24">
        <v>11.2</v>
      </c>
      <c r="K15" s="24">
        <v>1</v>
      </c>
      <c r="L15" s="24">
        <v>1011.8</v>
      </c>
      <c r="M15" s="24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24">
        <v>20.5</v>
      </c>
      <c r="G16" s="24">
        <v>72</v>
      </c>
      <c r="H16" s="35" t="s">
        <v>35</v>
      </c>
      <c r="I16" s="35" t="s">
        <v>70</v>
      </c>
      <c r="J16" s="24">
        <v>12.2</v>
      </c>
      <c r="K16" s="24">
        <v>8</v>
      </c>
      <c r="L16" s="24" t="s">
        <v>78</v>
      </c>
      <c r="M16" s="24">
        <v>15.4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 t="s">
        <v>79</v>
      </c>
      <c r="F17" s="24" t="s">
        <v>88</v>
      </c>
      <c r="G17" s="24">
        <v>79</v>
      </c>
      <c r="H17" s="35" t="s">
        <v>35</v>
      </c>
      <c r="I17" s="35" t="s">
        <v>70</v>
      </c>
      <c r="J17" s="24">
        <v>7.2</v>
      </c>
      <c r="K17" s="24">
        <v>7</v>
      </c>
      <c r="L17" s="24" t="s">
        <v>78</v>
      </c>
      <c r="M17" s="24">
        <v>20.100000000000001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0.3</v>
      </c>
      <c r="E18" s="35">
        <v>0.3</v>
      </c>
      <c r="F18" s="35">
        <v>26.2</v>
      </c>
      <c r="G18" s="35">
        <v>79</v>
      </c>
      <c r="H18" s="35" t="s">
        <v>45</v>
      </c>
      <c r="I18" s="35" t="s">
        <v>71</v>
      </c>
      <c r="J18" s="35">
        <v>4.3</v>
      </c>
      <c r="K18" s="35">
        <v>7</v>
      </c>
      <c r="L18" s="35" t="s">
        <v>78</v>
      </c>
      <c r="M18" s="35">
        <v>22.2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79</v>
      </c>
      <c r="F19" s="24">
        <v>31.9</v>
      </c>
      <c r="G19" s="24">
        <v>67</v>
      </c>
      <c r="H19" s="35" t="s">
        <v>34</v>
      </c>
      <c r="I19" s="35" t="s">
        <v>68</v>
      </c>
      <c r="J19" s="24">
        <v>5.8</v>
      </c>
      <c r="K19" s="24">
        <v>5</v>
      </c>
      <c r="L19" s="24">
        <v>1010.5</v>
      </c>
      <c r="M19" s="24">
        <v>24.3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 t="s">
        <v>79</v>
      </c>
      <c r="F20" s="24">
        <v>29.3</v>
      </c>
      <c r="G20" s="24">
        <v>79</v>
      </c>
      <c r="H20" s="35" t="s">
        <v>32</v>
      </c>
      <c r="I20" s="35" t="s">
        <v>55</v>
      </c>
      <c r="J20" s="24">
        <v>14</v>
      </c>
      <c r="K20" s="24">
        <v>3</v>
      </c>
      <c r="L20" s="24">
        <v>1011.8</v>
      </c>
      <c r="M20" s="24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24">
        <v>30.5</v>
      </c>
      <c r="G21" s="24">
        <v>73</v>
      </c>
      <c r="H21" s="35" t="s">
        <v>32</v>
      </c>
      <c r="I21" s="35" t="s">
        <v>56</v>
      </c>
      <c r="J21" s="24">
        <v>19.8</v>
      </c>
      <c r="K21" s="24">
        <v>1</v>
      </c>
      <c r="L21" s="24">
        <v>1011.3</v>
      </c>
      <c r="M21" s="24">
        <v>25.4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24">
        <v>33.6</v>
      </c>
      <c r="G22" s="24">
        <v>63</v>
      </c>
      <c r="H22" s="35" t="s">
        <v>34</v>
      </c>
      <c r="I22" s="35" t="s">
        <v>60</v>
      </c>
      <c r="J22" s="24">
        <v>7.6</v>
      </c>
      <c r="K22" s="24">
        <v>5</v>
      </c>
      <c r="L22" s="24">
        <v>1011.2</v>
      </c>
      <c r="M22" s="24">
        <v>25.3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24">
        <v>32.9</v>
      </c>
      <c r="G23" s="24">
        <v>63</v>
      </c>
      <c r="H23" s="35" t="s">
        <v>32</v>
      </c>
      <c r="I23" s="35" t="s">
        <v>72</v>
      </c>
      <c r="J23" s="24">
        <v>14.8</v>
      </c>
      <c r="K23" s="24">
        <v>3</v>
      </c>
      <c r="L23" s="24">
        <v>1011.5</v>
      </c>
      <c r="M23" s="24">
        <v>25.1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24">
        <v>34.700000000000003</v>
      </c>
      <c r="G24" s="24">
        <v>41</v>
      </c>
      <c r="H24" s="35" t="s">
        <v>32</v>
      </c>
      <c r="I24" s="35" t="s">
        <v>61</v>
      </c>
      <c r="J24" s="24">
        <v>1.4</v>
      </c>
      <c r="K24" s="24">
        <v>3</v>
      </c>
      <c r="L24" s="24">
        <v>1011.4</v>
      </c>
      <c r="M24" s="24">
        <v>19.899999999999999</v>
      </c>
      <c r="N24" s="24"/>
      <c r="O24" s="24"/>
    </row>
    <row r="25" spans="1:15" ht="15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24">
        <v>34.9</v>
      </c>
      <c r="G25" s="24">
        <v>45</v>
      </c>
      <c r="H25" s="35" t="s">
        <v>34</v>
      </c>
      <c r="I25" s="35" t="s">
        <v>66</v>
      </c>
      <c r="J25" s="24" t="s">
        <v>79</v>
      </c>
      <c r="K25" s="24">
        <v>6</v>
      </c>
      <c r="L25" s="24" t="s">
        <v>85</v>
      </c>
      <c r="M25" s="24">
        <v>21.3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8:I18 H20:I21 H1:I3 H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I4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346</v>
      </c>
      <c r="D2">
        <v>6</v>
      </c>
      <c r="E2" s="3" t="str">
        <f>VLOOKUP(D2,$G$1:$H$19,2,FALSE)</f>
        <v>partlycloudy</v>
      </c>
      <c r="F2" s="3" t="str">
        <f>Sheet4!L1</f>
        <v>NNW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2</v>
      </c>
      <c r="E3" s="3" t="str">
        <f t="shared" ref="E3:E25" si="1">VLOOKUP(D3,$G$1:$H$19,2,FALSE)</f>
        <v>fairday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264</v>
      </c>
      <c r="D4">
        <v>2</v>
      </c>
      <c r="E4" s="3" t="str">
        <f t="shared" si="1"/>
        <v>fairday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6</v>
      </c>
      <c r="E6" s="3" t="str">
        <f t="shared" si="1"/>
        <v>partlycloudy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115</v>
      </c>
      <c r="D7">
        <v>6</v>
      </c>
      <c r="E7" s="3" t="str">
        <f t="shared" si="1"/>
        <v>partlycloudy</v>
      </c>
      <c r="F7" s="3" t="str">
        <f>Sheet4!L6</f>
        <v>ESE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283</v>
      </c>
      <c r="D8">
        <v>2</v>
      </c>
      <c r="E8" s="3" t="str">
        <f t="shared" si="1"/>
        <v>fairday</v>
      </c>
      <c r="F8" s="3" t="str">
        <f>Sheet4!L7</f>
        <v>WNW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254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287</v>
      </c>
      <c r="D14">
        <v>6</v>
      </c>
      <c r="E14" s="3" t="str">
        <f t="shared" si="1"/>
        <v>partlycloudy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111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110</v>
      </c>
      <c r="D17">
        <v>5</v>
      </c>
      <c r="E17" s="3" t="str">
        <f t="shared" si="1"/>
        <v>cloudy</v>
      </c>
      <c r="F17" s="3" t="str">
        <f>Sheet4!L16</f>
        <v>ESE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129</v>
      </c>
      <c r="D18">
        <v>11</v>
      </c>
      <c r="E18" s="3" t="str">
        <f t="shared" si="1"/>
        <v>showers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</v>
      </c>
      <c r="D19">
        <v>6</v>
      </c>
      <c r="E19" s="3" t="str">
        <f t="shared" si="1"/>
        <v>partlycloudy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202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155</v>
      </c>
      <c r="D22">
        <v>6</v>
      </c>
      <c r="E22" s="3" t="str">
        <f t="shared" si="1"/>
        <v>partlycloudy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170</v>
      </c>
      <c r="D23">
        <v>2</v>
      </c>
      <c r="E23" s="3" t="str">
        <f t="shared" si="1"/>
        <v>fairday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346</v>
      </c>
      <c r="L1" t="str">
        <f>VLOOKUP(K1,A$2:B$363,2,FALSE)</f>
        <v>NNW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264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115</v>
      </c>
      <c r="L6" t="str">
        <f t="shared" si="0"/>
        <v>ESE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283</v>
      </c>
      <c r="L7" t="str">
        <f t="shared" si="0"/>
        <v>WNW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254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287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111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110</v>
      </c>
      <c r="L16" t="str">
        <f t="shared" si="0"/>
        <v>ESE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129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202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155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170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2026-10-03T10:17:51Z</dcterms:modified>
</cp:coreProperties>
</file>