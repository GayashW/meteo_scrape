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BF12F8BC-C0D3-4A0C-A117-2319D0FDD627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<sst xmlns="http://schemas.openxmlformats.org/spreadsheetml/2006/main" count="655" uniqueCount="92">
  <si>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</si>
  <si>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</si>
  <si>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</si>
  <si>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</si>
  <si>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</si>
  <si>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</si>
  <si>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</si>
  <si>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</si>
  <si>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</si>
  <si>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</si>
  <si>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</si>
  <si>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</si>
  <si>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</si>
  <si>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</si>
  <si>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</si>
  <si>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</si>
  <si>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</si>
  <si>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</si>
  <si>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</si>
  <si>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</si>
  <si>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</si>
  <si>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</si>
  <si>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</si>
  <si>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</si>
  <si>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</si>
  <si>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</si>
  <si>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</si>
  <si>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</si>
  <si>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</si>
  <si>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</si>
  <si>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</si>
  <si>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</si>
  <si>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</si>
  <si>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</si>
  <si>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</si>
  <si>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</si>
  <si>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</si>
  <si>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</si>
  <si>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</si>
  <si>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</si>
  <si>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</si>
  <si>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</si>
  <si>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</si>
  <si>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</si>
  <si>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</si>
  <si>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</si>
  <si>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</si>
  <si>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</si>
  <si>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</si>
  <si>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</si>
  <si>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</si>
  <si>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</si>
  <si>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</si>
  <si>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</si>
  <si>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</si>
  <si>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</si>
  <si>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</si>
  <si>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</si>
  <si>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</si>
  <si>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</si>
  <si>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</si>
  <si>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</si>
  <si>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</si>
  <si>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</si>
  <si>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</si>
  <si>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</si>
  <si>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</si>
  <si>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</si>
  <si>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</si>
  <si>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</si>
  <si>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</si>
  <si>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</si>
  <si>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</si>
  <si>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</si>
  <si>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</si>
  <si>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</si>
  <si>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</si>
  <si>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2026-08-15 1130</t>
  </si>
  <si>
    <t>Trace</t>
  </si>
  <si>
    <t>34.0</t>
  </si>
  <si>
    <t>33.0</t>
  </si>
  <si>
    <t>26.0</t>
  </si>
  <si>
    <t>6.0</t>
  </si>
  <si>
    <t>11.2</t>
  </si>
  <si>
    <t>22.7</t>
  </si>
  <si>
    <t>4.0</t>
  </si>
  <si>
    <t>8.6</t>
  </si>
  <si>
    <t>24.1</t>
  </si>
  <si>
    <t>7.6</t>
  </si>
  <si>
    <t>9.0</t>
  </si>
  <si>
    <t>15.8</t>
  </si>
  <si>
    <t>22.0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</si>
</sst>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P13" sqref="P13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x14ac:dyDescent="0.25">
      <c r="A2" s="1">
        <v>43404</v>
      </c>
      <c r="B2" s="1" t="s">
        <v>7</v>
      </c>
      <c r="C2" s="26" t="s">
        <v>77</v>
      </c>
      <c r="D2" s="24" t="s">
        <v>76</v>
      </c>
      <c r="E2" s="24" t="s">
        <v>76</v>
      </c>
      <c r="F2" s="24">
        <v>31.5</v>
      </c>
      <c r="G2" s="24">
        <v>68</v>
      </c>
      <c r="H2" s="24" t="s">
        <v>32</v>
      </c>
      <c r="I2" s="24" t="s">
        <v>72</v>
      </c>
      <c r="J2" s="24" t="s">
        <v>83</v>
      </c>
      <c r="K2" s="24"/>
      <c r="M2" s="3"/>
    </row>
    <row r="3" spans="1:15" ht="15" customHeight="1" x14ac:dyDescent="0.25">
      <c r="A3" s="3">
        <v>43410</v>
      </c>
      <c r="B3" s="3" t="s">
        <v>8</v>
      </c>
      <c r="C3" s="26" t="s">
        <v>77</v>
      </c>
      <c r="D3" s="24" t="s">
        <v>76</v>
      </c>
      <c r="E3" s="24" t="s">
        <v>76</v>
      </c>
      <c r="F3" s="24" t="s">
        <v>79</v>
      </c>
      <c r="G3" s="24">
        <v>55</v>
      </c>
      <c r="H3" s="24" t="s">
        <v>32</v>
      </c>
      <c r="I3" s="24" t="s">
        <v>55</v>
      </c>
      <c r="J3" s="24" t="s">
        <v>82</v>
      </c>
      <c r="K3" s="24"/>
      <c r="M3" s="3"/>
    </row>
    <row r="4" spans="1:15" ht="15" customHeight="1" x14ac:dyDescent="0.25">
      <c r="A4" s="1">
        <v>43413</v>
      </c>
      <c r="B4" s="2" t="s">
        <v>9</v>
      </c>
      <c r="C4" s="26" t="s">
        <v>77</v>
      </c>
      <c r="D4" s="24" t="s">
        <v>76</v>
      </c>
      <c r="E4" s="24" t="s">
        <v>76</v>
      </c>
      <c r="F4" s="24">
        <v>29.1</v>
      </c>
      <c r="G4" s="24">
        <v>77</v>
      </c>
      <c r="H4" s="24" t="s">
        <v>34</v>
      </c>
      <c r="I4" s="24" t="s">
        <v>55</v>
      </c>
      <c r="J4" s="24" t="s">
        <v>84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77</v>
      </c>
      <c r="D5" s="24" t="s">
        <v>76</v>
      </c>
      <c r="E5" s="24" t="s">
        <v>76</v>
      </c>
      <c r="F5" s="24" t="s">
        <v>79</v>
      </c>
      <c r="G5" s="24">
        <v>54</v>
      </c>
      <c r="H5" s="24" t="s">
        <v>34</v>
      </c>
      <c r="I5" s="24" t="s">
        <v>66</v>
      </c>
      <c r="J5" s="24" t="s">
        <v>76</v>
      </c>
      <c r="M5" s="3"/>
    </row>
    <row r="6" spans="1:15" x14ac:dyDescent="0.25">
      <c r="A6" s="1">
        <v>43418</v>
      </c>
      <c r="B6" s="2" t="s">
        <v>11</v>
      </c>
      <c r="C6" s="26" t="s">
        <v>77</v>
      </c>
      <c r="D6" s="24" t="s">
        <v>76</v>
      </c>
      <c r="E6" s="24" t="s">
        <v>76</v>
      </c>
      <c r="F6" s="24">
        <v>33.799999999999997</v>
      </c>
      <c r="G6" s="24">
        <v>54</v>
      </c>
      <c r="H6" s="24" t="s">
        <v>32</v>
      </c>
      <c r="I6" s="24" t="s">
        <v>61</v>
      </c>
      <c r="J6" s="24">
        <v>14.6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77</v>
      </c>
      <c r="D7" s="24" t="s">
        <v>76</v>
      </c>
      <c r="E7" s="24" t="s">
        <v>76</v>
      </c>
      <c r="F7" s="24" t="s">
        <v>80</v>
      </c>
      <c r="G7" s="24">
        <v>55</v>
      </c>
      <c r="H7" s="24" t="s">
        <v>34</v>
      </c>
      <c r="I7" s="24" t="s">
        <v>61</v>
      </c>
      <c r="J7" s="24" t="s">
        <v>83</v>
      </c>
      <c r="M7" s="3"/>
      <c r="N7" s="24"/>
      <c r="O7" s="24"/>
    </row>
    <row r="8" spans="1:15" ht="15.75" customHeight="1" x14ac:dyDescent="0.25">
      <c r="A8" s="1">
        <v>43422</v>
      </c>
      <c r="B8" s="1" t="s">
        <v>13</v>
      </c>
      <c r="C8" s="26" t="s">
        <v>77</v>
      </c>
      <c r="D8" s="24" t="s">
        <v>76</v>
      </c>
      <c r="E8" s="24" t="s">
        <v>76</v>
      </c>
      <c r="F8" s="24">
        <v>31.9</v>
      </c>
      <c r="G8" s="24">
        <v>59</v>
      </c>
      <c r="H8" s="24" t="s">
        <v>34</v>
      </c>
      <c r="I8" s="24" t="s">
        <v>55</v>
      </c>
      <c r="J8" s="24">
        <v>16.899999999999999</v>
      </c>
      <c r="K8" s="24"/>
      <c r="M8" s="3"/>
      <c r="N8" s="24"/>
      <c r="O8" s="24"/>
    </row>
    <row r="9" spans="1:15" ht="15.75" customHeight="1" x14ac:dyDescent="0.25">
      <c r="A9" s="1">
        <v>43424</v>
      </c>
      <c r="B9" s="1" t="s">
        <v>14</v>
      </c>
      <c r="C9" s="26" t="s">
        <v>77</v>
      </c>
      <c r="D9" s="24" t="s">
        <v>76</v>
      </c>
      <c r="E9" s="24" t="s">
        <v>76</v>
      </c>
      <c r="F9" s="24">
        <v>30.5</v>
      </c>
      <c r="G9" s="24">
        <v>67</v>
      </c>
      <c r="H9" s="24" t="s">
        <v>34</v>
      </c>
      <c r="I9" s="24" t="s">
        <v>57</v>
      </c>
      <c r="J9" s="24">
        <v>10.1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77</v>
      </c>
      <c r="D10" s="24" t="s">
        <v>76</v>
      </c>
      <c r="E10" s="24" t="s">
        <v>76</v>
      </c>
      <c r="F10" s="24">
        <v>32.799999999999997</v>
      </c>
      <c r="G10" s="24">
        <v>64</v>
      </c>
      <c r="H10" s="24" t="s">
        <v>32</v>
      </c>
      <c r="I10" s="24" t="s">
        <v>62</v>
      </c>
      <c r="J10" s="24" t="s">
        <v>85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77</v>
      </c>
      <c r="D11" s="24">
        <v>0.2</v>
      </c>
      <c r="E11" s="24">
        <v>0.2</v>
      </c>
      <c r="F11" s="24">
        <v>30.4</v>
      </c>
      <c r="G11" s="24">
        <v>68</v>
      </c>
      <c r="H11" s="24" t="s">
        <v>45</v>
      </c>
      <c r="I11" s="24" t="s">
        <v>72</v>
      </c>
      <c r="J11" s="24">
        <v>8.3000000000000007</v>
      </c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77</v>
      </c>
      <c r="D12" s="24" t="s">
        <v>76</v>
      </c>
      <c r="E12" s="24" t="s">
        <v>76</v>
      </c>
      <c r="F12" s="24">
        <v>27.2</v>
      </c>
      <c r="G12" s="24">
        <v>75</v>
      </c>
      <c r="H12" s="24" t="s">
        <v>32</v>
      </c>
      <c r="I12" s="24" t="s">
        <v>55</v>
      </c>
      <c r="J12" s="24">
        <v>5.4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77</v>
      </c>
      <c r="D13" s="24" t="s">
        <v>76</v>
      </c>
      <c r="E13" s="24" t="s">
        <v>76</v>
      </c>
      <c r="F13" s="24">
        <v>30.9</v>
      </c>
      <c r="G13" s="24">
        <v>67</v>
      </c>
      <c r="H13" s="24" t="s">
        <v>34</v>
      </c>
      <c r="I13" s="24" t="s">
        <v>55</v>
      </c>
      <c r="J13" s="24">
        <v>21.2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77</v>
      </c>
      <c r="D14" s="24" t="s">
        <v>76</v>
      </c>
      <c r="E14" s="24" t="s">
        <v>76</v>
      </c>
      <c r="F14" s="24">
        <v>30.5</v>
      </c>
      <c r="G14" s="24">
        <v>70</v>
      </c>
      <c r="H14" s="24" t="s">
        <v>34</v>
      </c>
      <c r="I14" s="24" t="s">
        <v>61</v>
      </c>
      <c r="J14" s="24" t="s">
        <v>86</v>
      </c>
      <c r="M14" s="3"/>
      <c r="N14" s="24"/>
      <c r="O14" s="24"/>
    </row>
    <row r="15" spans="1:15" ht="16.5" customHeight="1" x14ac:dyDescent="0.25">
      <c r="A15" s="1">
        <v>43467</v>
      </c>
      <c r="B15" s="2" t="s">
        <v>19</v>
      </c>
      <c r="C15" s="26" t="s">
        <v>77</v>
      </c>
      <c r="D15" s="24" t="s">
        <v>76</v>
      </c>
      <c r="E15" s="24" t="s">
        <v>76</v>
      </c>
      <c r="F15" s="24">
        <v>30.7</v>
      </c>
      <c r="G15" s="24">
        <v>73</v>
      </c>
      <c r="H15" s="24" t="s">
        <v>32</v>
      </c>
      <c r="I15" s="24" t="s">
        <v>61</v>
      </c>
      <c r="J15" s="24">
        <v>8.6</v>
      </c>
      <c r="M15" s="3"/>
      <c r="N15" s="24"/>
      <c r="O15" s="24"/>
    </row>
    <row r="16" spans="1:15" ht="18" customHeight="1" x14ac:dyDescent="0.25">
      <c r="A16" s="1">
        <v>43473</v>
      </c>
      <c r="B16" s="2" t="s">
        <v>20</v>
      </c>
      <c r="C16" s="26" t="s">
        <v>77</v>
      </c>
      <c r="D16" s="24" t="s">
        <v>78</v>
      </c>
      <c r="E16" s="24" t="s">
        <v>78</v>
      </c>
      <c r="F16" s="24">
        <v>16.8</v>
      </c>
      <c r="G16" s="24">
        <v>84</v>
      </c>
      <c r="H16" s="24" t="s">
        <v>34</v>
      </c>
      <c r="I16" s="24" t="s">
        <v>58</v>
      </c>
      <c r="J16" s="24" t="s">
        <v>87</v>
      </c>
      <c r="M16" s="3"/>
      <c r="N16" s="24"/>
      <c r="O16" s="24"/>
    </row>
    <row r="17" spans="1:15" x14ac:dyDescent="0.25">
      <c r="A17" s="1">
        <v>43476</v>
      </c>
      <c r="B17" s="1" t="s">
        <v>21</v>
      </c>
      <c r="C17" s="26" t="s">
        <v>77</v>
      </c>
      <c r="D17" s="24" t="s">
        <v>76</v>
      </c>
      <c r="E17" s="24" t="s">
        <v>76</v>
      </c>
      <c r="F17" s="24" t="s">
        <v>81</v>
      </c>
      <c r="G17" s="24">
        <v>56</v>
      </c>
      <c r="H17" s="24" t="s">
        <v>32</v>
      </c>
      <c r="I17" s="24" t="s">
        <v>61</v>
      </c>
      <c r="J17" s="24">
        <v>21.9</v>
      </c>
      <c r="K17" s="24"/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77</v>
      </c>
      <c r="D18" s="24" t="s">
        <v>76</v>
      </c>
      <c r="E18" s="24" t="s">
        <v>76</v>
      </c>
      <c r="F18" s="24">
        <v>29.8</v>
      </c>
      <c r="G18" s="24">
        <v>57</v>
      </c>
      <c r="H18" s="24" t="s">
        <v>34</v>
      </c>
      <c r="I18" s="24" t="s">
        <v>68</v>
      </c>
      <c r="J18" s="24">
        <v>3.6</v>
      </c>
      <c r="M18" s="3"/>
    </row>
    <row r="19" spans="1:15" ht="16.5" customHeight="1" x14ac:dyDescent="0.25">
      <c r="A19" s="1">
        <v>43486</v>
      </c>
      <c r="B19" s="2" t="s">
        <v>23</v>
      </c>
      <c r="C19" s="26" t="s">
        <v>77</v>
      </c>
      <c r="D19" s="24">
        <v>1.5</v>
      </c>
      <c r="E19" s="24">
        <v>1.5</v>
      </c>
      <c r="F19" s="24">
        <v>29.9</v>
      </c>
      <c r="G19" s="24">
        <v>81</v>
      </c>
      <c r="H19" s="24" t="s">
        <v>33</v>
      </c>
      <c r="I19" s="24" t="s">
        <v>68</v>
      </c>
      <c r="J19" s="24" t="s">
        <v>88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77</v>
      </c>
      <c r="D20" s="24" t="s">
        <v>76</v>
      </c>
      <c r="E20" s="24" t="s">
        <v>76</v>
      </c>
      <c r="F20" s="24">
        <v>28.9</v>
      </c>
      <c r="G20" s="24">
        <v>83</v>
      </c>
      <c r="H20" s="24" t="s">
        <v>32</v>
      </c>
      <c r="I20" s="24" t="s">
        <v>61</v>
      </c>
      <c r="J20" s="24" t="s">
        <v>89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77</v>
      </c>
      <c r="D21" s="24" t="s">
        <v>76</v>
      </c>
      <c r="E21" s="24" t="s">
        <v>76</v>
      </c>
      <c r="F21" s="24">
        <v>32.200000000000003</v>
      </c>
      <c r="G21" s="24">
        <v>62</v>
      </c>
      <c r="H21" s="24" t="s">
        <v>32</v>
      </c>
      <c r="I21" s="24" t="s">
        <v>55</v>
      </c>
      <c r="J21" s="24" t="s">
        <v>90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77</v>
      </c>
      <c r="D22" s="24" t="s">
        <v>76</v>
      </c>
      <c r="E22" s="24" t="s">
        <v>76</v>
      </c>
      <c r="F22" s="24">
        <v>31.5</v>
      </c>
      <c r="G22" s="24">
        <v>70</v>
      </c>
      <c r="H22" s="24" t="s">
        <v>32</v>
      </c>
      <c r="I22" s="24" t="s">
        <v>70</v>
      </c>
      <c r="J22" s="24" t="s">
        <v>83</v>
      </c>
      <c r="K22" s="24"/>
      <c r="M22" s="3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77</v>
      </c>
      <c r="D23" s="24" t="s">
        <v>76</v>
      </c>
      <c r="E23" s="24" t="s">
        <v>76</v>
      </c>
      <c r="F23" s="24" t="s">
        <v>79</v>
      </c>
      <c r="G23" s="24">
        <v>51</v>
      </c>
      <c r="H23" s="24" t="s">
        <v>34</v>
      </c>
      <c r="I23" s="24" t="s">
        <v>61</v>
      </c>
      <c r="J23" s="24" t="s">
        <v>91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77</v>
      </c>
      <c r="D24" s="24" t="s">
        <v>76</v>
      </c>
      <c r="E24" s="24" t="s">
        <v>76</v>
      </c>
      <c r="F24" s="24">
        <v>33.799999999999997</v>
      </c>
      <c r="G24" s="24">
        <v>44</v>
      </c>
      <c r="H24" s="24" t="s">
        <v>32</v>
      </c>
      <c r="I24" s="24" t="s">
        <v>73</v>
      </c>
      <c r="J24" s="24">
        <v>1.2</v>
      </c>
      <c r="K24" s="24"/>
      <c r="M24" s="3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77</v>
      </c>
      <c r="D25" s="24" t="s">
        <v>76</v>
      </c>
      <c r="E25" s="24" t="s">
        <v>76</v>
      </c>
      <c r="F25" s="24">
        <v>33.5</v>
      </c>
      <c r="G25" s="24">
        <v>53</v>
      </c>
      <c r="H25" s="24" t="s">
        <v>32</v>
      </c>
      <c r="I25" s="24" t="s">
        <v>57</v>
      </c>
      <c r="J25" s="24">
        <v>15.5</v>
      </c>
      <c r="K25" s="24"/>
      <c r="M25" s="3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1:I11 H14:I14 H5:H13 H7:I8 H1:I4 M1:M25 H16:I16 H18:I25 H15:H19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I11 I14 I7:I8 I1:I4 M1:M25 I18:I25 I16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185</v>
      </c>
      <c r="D2" s="25">
        <v>2</v>
      </c>
      <c r="E2" s="3" t="str">
        <f>VLOOKUP(D2,$G$1:$H$19,2,FALSE)</f>
        <v>fairday</v>
      </c>
      <c r="F2" s="3" t="str">
        <f>Sheet4!L1</f>
        <v>S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222</v>
      </c>
      <c r="D4" s="25">
        <v>6</v>
      </c>
      <c r="E4" s="3" t="str">
        <f t="shared" si="1"/>
        <v>partlycloudy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0</v>
      </c>
      <c r="D5" s="25">
        <v>6</v>
      </c>
      <c r="E5" s="3" t="str">
        <f t="shared" si="1"/>
        <v>partlycloudy</v>
      </c>
      <c r="F5" s="3" t="str">
        <f>Sheet4!L4</f>
        <v>CALM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270</v>
      </c>
      <c r="D6" s="25">
        <v>2</v>
      </c>
      <c r="E6" s="3" t="str">
        <f t="shared" si="1"/>
        <v>fairday</v>
      </c>
      <c r="F6" s="3" t="str">
        <f>Sheet4!L5</f>
        <v>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261</v>
      </c>
      <c r="D7" s="25">
        <v>6</v>
      </c>
      <c r="E7" s="3" t="str">
        <f t="shared" si="1"/>
        <v>partlycloudy</v>
      </c>
      <c r="F7" s="3" t="str">
        <f>Sheet4!L6</f>
        <v>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6</v>
      </c>
      <c r="E8" s="3" t="str">
        <f t="shared" si="1"/>
        <v>partlycloudy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90</v>
      </c>
      <c r="D10" s="25">
        <v>2</v>
      </c>
      <c r="E10" s="3" t="str">
        <f t="shared" si="1"/>
        <v>fairday</v>
      </c>
      <c r="F10" s="3" t="str">
        <f>Sheet4!L9</f>
        <v>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180</v>
      </c>
      <c r="D11" s="25">
        <v>11</v>
      </c>
      <c r="E11" s="3" t="str">
        <f t="shared" si="1"/>
        <v>showers</v>
      </c>
      <c r="F11" s="3" t="str">
        <f>Sheet4!L10</f>
        <v>S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2</v>
      </c>
      <c r="E12" s="3" t="str">
        <f t="shared" si="1"/>
        <v>fairday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230</v>
      </c>
      <c r="D13" s="25">
        <v>6</v>
      </c>
      <c r="E13" s="3" t="str">
        <f t="shared" si="1"/>
        <v>partlycloudy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280</v>
      </c>
      <c r="D14" s="25">
        <v>6</v>
      </c>
      <c r="E14" s="3" t="str">
        <f t="shared" si="1"/>
        <v>partlycloudy</v>
      </c>
      <c r="F14" s="3" t="str">
        <f>Sheet4!L13</f>
        <v>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260</v>
      </c>
      <c r="D15" s="25">
        <v>2</v>
      </c>
      <c r="E15" s="3" t="str">
        <f t="shared" si="1"/>
        <v>fairday</v>
      </c>
      <c r="F15" s="3" t="str">
        <f>Sheet4!L14</f>
        <v>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286</v>
      </c>
      <c r="D16" s="25">
        <v>6</v>
      </c>
      <c r="E16" s="3" t="str">
        <f t="shared" si="1"/>
        <v>partlycloudy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270</v>
      </c>
      <c r="D17" s="25">
        <v>2</v>
      </c>
      <c r="E17" s="3" t="str">
        <f t="shared" si="1"/>
        <v>fairday</v>
      </c>
      <c r="F17" s="3" t="str">
        <f>Sheet4!L16</f>
        <v>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12</v>
      </c>
      <c r="D18" s="25">
        <v>6</v>
      </c>
      <c r="E18" s="3" t="str">
        <f t="shared" si="1"/>
        <v>partlycloudy</v>
      </c>
      <c r="F18" s="3" t="str">
        <f>Sheet4!L17</f>
        <v>NNE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11</v>
      </c>
      <c r="D19" s="25">
        <v>9</v>
      </c>
      <c r="E19" s="3" t="str">
        <f t="shared" si="1"/>
        <v>haze</v>
      </c>
      <c r="F19" s="3" t="str">
        <f>Sheet4!L18</f>
        <v>NNE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270</v>
      </c>
      <c r="D20" s="25">
        <v>2</v>
      </c>
      <c r="E20" s="3" t="str">
        <f t="shared" si="1"/>
        <v>fairday</v>
      </c>
      <c r="F20" s="3" t="str">
        <f>Sheet4!L19</f>
        <v>W</v>
      </c>
    </row>
    <row r="21" spans="1:14" x14ac:dyDescent="0.25">
      <c r="A21" s="36">
        <v>43497</v>
      </c>
      <c r="B21" s="38" t="s">
        <v>25</v>
      </c>
      <c r="C21" s="33">
        <v>223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105</v>
      </c>
      <c r="D22" s="25">
        <v>2</v>
      </c>
      <c r="E22" s="3" t="str">
        <f t="shared" si="1"/>
        <v>fairday</v>
      </c>
      <c r="F22" s="3" t="str">
        <f>Sheet4!L21</f>
        <v>ESE</v>
      </c>
    </row>
    <row r="23" spans="1:14" x14ac:dyDescent="0.25">
      <c r="A23" s="36">
        <v>330601</v>
      </c>
      <c r="B23" s="38" t="s">
        <v>27</v>
      </c>
      <c r="C23" s="33">
        <v>280</v>
      </c>
      <c r="D23" s="25">
        <v>6</v>
      </c>
      <c r="E23" s="3" t="str">
        <f t="shared" si="1"/>
        <v>partlycloudy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360</v>
      </c>
      <c r="D24" s="25">
        <v>2</v>
      </c>
      <c r="E24" s="3" t="str">
        <f t="shared" si="1"/>
        <v>fairday</v>
      </c>
      <c r="F24" s="3" t="str">
        <f>Sheet4!L23</f>
        <v>N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2</v>
      </c>
      <c r="E25" s="3" t="str">
        <f t="shared" si="1"/>
        <v>fairday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185</v>
      </c>
      <c r="L1" t="str">
        <f>VLOOKUP(K1,A$2:B$363,2,FALSE)</f>
        <v>S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222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270</v>
      </c>
      <c r="L5" t="str">
        <f t="shared" si="0"/>
        <v>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261</v>
      </c>
      <c r="L6" t="str">
        <f t="shared" si="0"/>
        <v>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180</v>
      </c>
      <c r="L10" t="str">
        <f t="shared" si="0"/>
        <v>S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280</v>
      </c>
      <c r="L13" t="str">
        <f t="shared" si="0"/>
        <v>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260</v>
      </c>
      <c r="L14" t="str">
        <f t="shared" si="0"/>
        <v>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286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270</v>
      </c>
      <c r="L16" t="str">
        <f t="shared" si="0"/>
        <v>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12</v>
      </c>
      <c r="L17" t="str">
        <f t="shared" si="0"/>
        <v>NNE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11</v>
      </c>
      <c r="L18" t="str">
        <f t="shared" si="0"/>
        <v>NNE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270</v>
      </c>
      <c r="L19" t="str">
        <f t="shared" si="0"/>
        <v>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223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105</v>
      </c>
      <c r="L21" t="str">
        <f t="shared" si="0"/>
        <v>ESE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280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360</v>
      </c>
      <c r="L23" t="str">
        <f t="shared" si="0"/>
        <v>N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2026-08-15T06:34:44Z</dcterms:modified>
</cp:coreProperties>
</file>