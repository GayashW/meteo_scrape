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908571C-16C1-4CE8-9C40-69EF5A1673C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<sst xmlns="http://schemas.openxmlformats.org/spreadsheetml/2006/main" count="578" uniqueCount="78">
  <si>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</si>
  <si>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</si>
  <si>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</si>
  <si>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</si>
  <si>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</si>
  <si>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</si>
  <si>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</si>
  <si>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</si>
  <si>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</si>
  <si>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</si>
  <si>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</si>
  <si>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</si>
  <si>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</si>
  <si>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</si>
  <si>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</si>
  <si>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</si>
  <si>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</si>
  <si>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</si>
  <si>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</si>
  <si>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</si>
  <si>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</si>
  <si>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</si>
  <si>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</si>
  <si>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</si>
  <si>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</si>
  <si>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</si>
  <si>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</si>
  <si>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</si>
  <si>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</si>
  <si>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</si>
  <si>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</si>
  <si>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</si>
  <si>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</si>
  <si>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</si>
  <si>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</si>
  <si>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</si>
  <si>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</si>
  <si>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</si>
  <si>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</si>
  <si>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</si>
  <si>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</si>
  <si>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</si>
  <si>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</si>
  <si>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</si>
  <si>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</si>
  <si>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</si>
  <si>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</si>
  <si>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</si>
  <si>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</si>
  <si>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</si>
  <si>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</si>
  <si>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</si>
  <si>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</si>
  <si>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</si>
  <si>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</si>
  <si>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</si>
  <si>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</si>
  <si>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</si>
  <si>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</si>
  <si>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</si>
  <si>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</si>
  <si>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</si>
  <si>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</si>
  <si>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</si>
  <si>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</si>
  <si>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</si>
  <si>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</si>
  <si>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</si>
  <si>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</si>
  <si>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</si>
  <si>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</si>
  <si>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</si>
  <si>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</si>
  <si>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</si>
  <si>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</si>
  <si>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</si>
  <si>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2026-07-02 1430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</si>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</sst>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17" sqref="N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76</v>
      </c>
      <c r="D2" s="40">
        <v>0</v>
      </c>
      <c r="E2" s="40">
        <v>0</v>
      </c>
      <c r="F2" s="40">
        <v>32.299999999999997</v>
      </c>
      <c r="G2" s="24">
        <v>67</v>
      </c>
      <c r="H2" s="28" t="s">
        <v>32</v>
      </c>
      <c r="I2" s="24" t="s">
        <v>56</v>
      </c>
      <c r="J2" s="40">
        <v>14.04</v>
      </c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40">
        <v>0</v>
      </c>
      <c r="E3" s="40">
        <v>0</v>
      </c>
      <c r="F3" s="40">
        <v>35.200000000000003</v>
      </c>
      <c r="G3" s="24">
        <v>46</v>
      </c>
      <c r="H3" s="28" t="s">
        <v>32</v>
      </c>
      <c r="I3" s="24" t="s">
        <v>72</v>
      </c>
      <c r="J3" s="40">
        <v>24</v>
      </c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40">
        <v>0</v>
      </c>
      <c r="E4" s="40">
        <v>0</v>
      </c>
      <c r="F4" s="40">
        <v>30.5</v>
      </c>
      <c r="G4" s="24">
        <v>78</v>
      </c>
      <c r="H4" s="28" t="s">
        <v>32</v>
      </c>
      <c r="I4" s="24" t="s">
        <v>56</v>
      </c>
      <c r="J4" s="40">
        <v>25.56</v>
      </c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40">
        <v>0</v>
      </c>
      <c r="E5" s="40">
        <v>0</v>
      </c>
      <c r="F5" s="40">
        <v>34</v>
      </c>
      <c r="G5" s="24">
        <v>54</v>
      </c>
      <c r="H5" s="28" t="s">
        <v>34</v>
      </c>
      <c r="I5" s="24" t="s">
        <v>57</v>
      </c>
      <c r="J5" s="40">
        <v>12.6</v>
      </c>
    </row>
    <row r="6" spans="1:15" ht="14.25" customHeight="1" x14ac:dyDescent="0.25">
      <c r="A6" s="1">
        <v>43418</v>
      </c>
      <c r="B6" s="2" t="s">
        <v>11</v>
      </c>
      <c r="C6" s="26" t="s">
        <v>76</v>
      </c>
      <c r="D6" s="40">
        <v>0</v>
      </c>
      <c r="E6" s="40">
        <v>0</v>
      </c>
      <c r="F6" s="40">
        <v>35.4</v>
      </c>
      <c r="G6" s="24">
        <v>43</v>
      </c>
      <c r="H6" s="28" t="s">
        <v>32</v>
      </c>
      <c r="I6" s="24" t="s">
        <v>55</v>
      </c>
      <c r="J6" s="40">
        <v>9.4</v>
      </c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40">
        <v>0</v>
      </c>
      <c r="E7" s="40">
        <v>0</v>
      </c>
      <c r="F7" s="40">
        <v>32.200000000000003</v>
      </c>
      <c r="G7" s="24">
        <v>59</v>
      </c>
      <c r="H7" s="28" t="s">
        <v>32</v>
      </c>
      <c r="I7" s="24" t="s">
        <v>57</v>
      </c>
      <c r="J7" s="40">
        <v>14.4</v>
      </c>
    </row>
    <row r="8" spans="1:15" ht="15" customHeight="1" x14ac:dyDescent="0.25">
      <c r="A8" s="1">
        <v>43422</v>
      </c>
      <c r="B8" s="1" t="s">
        <v>13</v>
      </c>
      <c r="C8" s="26" t="s">
        <v>76</v>
      </c>
      <c r="D8" s="40">
        <v>0</v>
      </c>
      <c r="E8" s="40">
        <v>0</v>
      </c>
      <c r="F8" s="40">
        <v>31.9</v>
      </c>
      <c r="G8" s="24">
        <v>61</v>
      </c>
      <c r="H8" s="28" t="s">
        <v>32</v>
      </c>
      <c r="I8" s="24" t="s">
        <v>55</v>
      </c>
      <c r="J8" s="40">
        <v>11.5</v>
      </c>
    </row>
    <row r="9" spans="1:15" ht="15" customHeight="1" x14ac:dyDescent="0.25">
      <c r="A9" s="1">
        <v>43424</v>
      </c>
      <c r="B9" s="1" t="s">
        <v>14</v>
      </c>
      <c r="C9" s="26" t="s">
        <v>76</v>
      </c>
      <c r="D9" s="40">
        <v>0</v>
      </c>
      <c r="E9" s="40">
        <v>0</v>
      </c>
      <c r="F9" s="40">
        <v>31.4</v>
      </c>
      <c r="G9" s="24">
        <v>70</v>
      </c>
      <c r="H9" s="28" t="s">
        <v>34</v>
      </c>
      <c r="I9" s="24" t="s">
        <v>57</v>
      </c>
      <c r="J9" s="40">
        <v>11.9</v>
      </c>
    </row>
    <row r="10" spans="1:15" ht="16.5" customHeight="1" x14ac:dyDescent="0.25">
      <c r="A10" s="1">
        <v>43436</v>
      </c>
      <c r="B10" s="2" t="s">
        <v>15</v>
      </c>
      <c r="C10" s="26" t="s">
        <v>76</v>
      </c>
      <c r="D10" s="40">
        <v>0</v>
      </c>
      <c r="E10" s="40">
        <v>0</v>
      </c>
      <c r="F10" s="40">
        <v>34.4</v>
      </c>
      <c r="G10" s="24">
        <v>56</v>
      </c>
      <c r="H10" s="28" t="s">
        <v>32</v>
      </c>
      <c r="I10" s="24" t="s">
        <v>73</v>
      </c>
      <c r="J10" s="40">
        <v>2.2000000000000002</v>
      </c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40">
        <v>0</v>
      </c>
      <c r="E11" s="40">
        <v>0</v>
      </c>
      <c r="F11" s="40">
        <v>32.200000000000003</v>
      </c>
      <c r="G11" s="24">
        <v>62</v>
      </c>
      <c r="H11" s="28" t="s">
        <v>34</v>
      </c>
      <c r="I11" s="24" t="s">
        <v>57</v>
      </c>
      <c r="J11" s="40">
        <v>15.8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40">
        <v>0</v>
      </c>
      <c r="E12" s="40">
        <v>0</v>
      </c>
      <c r="F12" s="40">
        <v>29.9</v>
      </c>
      <c r="G12" s="24">
        <v>61</v>
      </c>
      <c r="H12" s="28" t="s">
        <v>32</v>
      </c>
      <c r="I12" s="24" t="s">
        <v>55</v>
      </c>
      <c r="J12" s="40">
        <v>6.2</v>
      </c>
      <c r="N12" s="24"/>
      <c r="O12" s="24"/>
    </row>
    <row r="13" spans="1:15" x14ac:dyDescent="0.25">
      <c r="A13" s="1">
        <v>43450</v>
      </c>
      <c r="B13" s="2" t="s">
        <v>17</v>
      </c>
      <c r="C13" s="26" t="s">
        <v>76</v>
      </c>
      <c r="D13" s="40">
        <v>0</v>
      </c>
      <c r="E13" s="40">
        <v>0</v>
      </c>
      <c r="F13" s="40">
        <v>30.4</v>
      </c>
      <c r="G13" s="24">
        <v>72</v>
      </c>
      <c r="H13" s="28" t="s">
        <v>35</v>
      </c>
      <c r="I13" s="24" t="s">
        <v>56</v>
      </c>
      <c r="J13" s="40">
        <v>21.96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40">
        <v>0</v>
      </c>
      <c r="E14" s="40">
        <v>0</v>
      </c>
      <c r="F14" s="40">
        <v>30.7</v>
      </c>
      <c r="G14" s="24">
        <v>69</v>
      </c>
      <c r="H14" s="28" t="s">
        <v>34</v>
      </c>
      <c r="I14" s="24" t="s">
        <v>61</v>
      </c>
      <c r="J14" s="40">
        <v>8.2799999999999994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76</v>
      </c>
      <c r="D15" s="40">
        <v>0</v>
      </c>
      <c r="E15" s="40" t="s">
        <v>77</v>
      </c>
      <c r="F15" s="40">
        <v>31.8</v>
      </c>
      <c r="G15" s="24">
        <v>69</v>
      </c>
      <c r="H15" s="28" t="s">
        <v>34</v>
      </c>
      <c r="I15" s="24" t="s">
        <v>55</v>
      </c>
      <c r="J15" s="40">
        <v>13.7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76</v>
      </c>
      <c r="D16" s="40">
        <v>0</v>
      </c>
      <c r="E16" s="40">
        <v>0</v>
      </c>
      <c r="F16" s="40">
        <v>19.600000000000001</v>
      </c>
      <c r="G16" s="24">
        <v>64</v>
      </c>
      <c r="H16" s="28" t="s">
        <v>32</v>
      </c>
      <c r="I16" s="24" t="s">
        <v>58</v>
      </c>
      <c r="J16" s="40">
        <v>23.04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76</v>
      </c>
      <c r="D17" s="40">
        <v>0</v>
      </c>
      <c r="E17" s="40">
        <v>0</v>
      </c>
      <c r="F17" s="40">
        <v>27</v>
      </c>
      <c r="G17" s="24">
        <v>49</v>
      </c>
      <c r="H17" s="28" t="s">
        <v>32</v>
      </c>
      <c r="I17" s="24" t="s">
        <v>58</v>
      </c>
      <c r="J17" s="40">
        <v>17.600000000000001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40">
        <v>0</v>
      </c>
      <c r="E18" s="40">
        <v>0</v>
      </c>
      <c r="F18" s="40">
        <v>31.4</v>
      </c>
      <c r="G18" s="24">
        <v>47</v>
      </c>
      <c r="H18" s="28" t="s">
        <v>32</v>
      </c>
      <c r="I18" s="24" t="s">
        <v>68</v>
      </c>
      <c r="J18" s="40">
        <v>7.2</v>
      </c>
      <c r="N18" s="24"/>
      <c r="O18" s="24"/>
    </row>
    <row r="19" spans="1:15" ht="14.25" customHeight="1" x14ac:dyDescent="0.25">
      <c r="A19" s="1">
        <v>43486</v>
      </c>
      <c r="B19" s="2" t="s">
        <v>23</v>
      </c>
      <c r="C19" s="26" t="s">
        <v>76</v>
      </c>
      <c r="D19" s="40">
        <v>0</v>
      </c>
      <c r="E19" s="40">
        <v>0.3</v>
      </c>
      <c r="F19" s="40">
        <v>31.8</v>
      </c>
      <c r="G19" s="24">
        <v>60</v>
      </c>
      <c r="H19" s="28" t="s">
        <v>34</v>
      </c>
      <c r="I19" s="24" t="s">
        <v>58</v>
      </c>
      <c r="J19" s="40">
        <v>8.2799999999999994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40">
        <v>0</v>
      </c>
      <c r="E20" s="40">
        <v>0</v>
      </c>
      <c r="F20" s="40">
        <v>29.3</v>
      </c>
      <c r="G20" s="24">
        <v>80</v>
      </c>
      <c r="H20" s="28" t="s">
        <v>32</v>
      </c>
      <c r="I20" s="24" t="s">
        <v>58</v>
      </c>
      <c r="J20" s="40">
        <v>18.7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40">
        <v>0</v>
      </c>
      <c r="E21" s="40">
        <v>0</v>
      </c>
      <c r="F21" s="40">
        <v>34.4</v>
      </c>
      <c r="G21" s="24">
        <v>49</v>
      </c>
      <c r="H21" s="28" t="s">
        <v>32</v>
      </c>
      <c r="I21" s="24" t="s">
        <v>57</v>
      </c>
      <c r="J21" s="40">
        <v>9.36</v>
      </c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40">
        <v>0</v>
      </c>
      <c r="E22" s="40">
        <v>0</v>
      </c>
      <c r="F22" s="40">
        <v>33.799999999999997</v>
      </c>
      <c r="G22" s="24">
        <v>67</v>
      </c>
      <c r="H22" s="28" t="s">
        <v>32</v>
      </c>
      <c r="I22" s="24" t="s">
        <v>62</v>
      </c>
      <c r="J22" s="40">
        <v>9.36</v>
      </c>
      <c r="N22" s="24"/>
      <c r="O22" s="24"/>
    </row>
    <row r="23" spans="1:15" x14ac:dyDescent="0.25">
      <c r="A23" s="1">
        <v>330601</v>
      </c>
      <c r="B23" s="2" t="s">
        <v>27</v>
      </c>
      <c r="C23" s="26" t="s">
        <v>76</v>
      </c>
      <c r="D23" s="40">
        <v>0</v>
      </c>
      <c r="E23" s="40">
        <v>0</v>
      </c>
      <c r="F23" s="40">
        <v>35</v>
      </c>
      <c r="G23" s="24">
        <v>45</v>
      </c>
      <c r="H23" s="28" t="s">
        <v>32</v>
      </c>
      <c r="I23" s="24" t="s">
        <v>61</v>
      </c>
      <c r="J23" s="40">
        <v>27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40">
        <v>0</v>
      </c>
      <c r="E24" s="40">
        <v>0</v>
      </c>
      <c r="F24" s="40">
        <v>35.299999999999997</v>
      </c>
      <c r="G24" s="24">
        <v>39</v>
      </c>
      <c r="H24" s="28" t="s">
        <v>32</v>
      </c>
      <c r="I24" s="24" t="s">
        <v>55</v>
      </c>
      <c r="J24" s="40">
        <v>8.1999999999999993</v>
      </c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76</v>
      </c>
      <c r="D25" s="40">
        <v>0</v>
      </c>
      <c r="E25" s="40">
        <v>0</v>
      </c>
      <c r="F25" s="40">
        <v>35.5</v>
      </c>
      <c r="G25" s="24">
        <v>52</v>
      </c>
      <c r="H25" s="28" t="s">
        <v>32</v>
      </c>
      <c r="I25" s="24" t="s">
        <v>61</v>
      </c>
      <c r="J25" s="40">
        <v>15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219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267</v>
      </c>
      <c r="D7" s="25">
        <v>6</v>
      </c>
      <c r="E7" s="3" t="str">
        <f t="shared" si="1"/>
        <v>partlycloudy</v>
      </c>
      <c r="F7" s="3" t="str">
        <f>Sheet4!L6</f>
        <v>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246</v>
      </c>
      <c r="D8" s="25">
        <v>2</v>
      </c>
      <c r="E8" s="3" t="str">
        <f t="shared" si="1"/>
        <v>fairday</v>
      </c>
      <c r="F8" s="3" t="str">
        <f>Sheet4!L7</f>
        <v>WSW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290</v>
      </c>
      <c r="D11" s="25">
        <v>6</v>
      </c>
      <c r="E11" s="3" t="str">
        <f t="shared" si="1"/>
        <v>partlycloudy</v>
      </c>
      <c r="F11" s="3" t="str">
        <f>Sheet4!L10</f>
        <v>WNW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248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299</v>
      </c>
      <c r="D16" s="25">
        <v>2</v>
      </c>
      <c r="E16" s="3" t="str">
        <f t="shared" si="1"/>
        <v>fairday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321</v>
      </c>
      <c r="D17" s="25">
        <v>6</v>
      </c>
      <c r="E17" s="3" t="str">
        <f t="shared" si="1"/>
        <v>partlycloudy</v>
      </c>
      <c r="F17" s="3" t="str">
        <f>Sheet4!L16</f>
        <v>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22</v>
      </c>
      <c r="D18" s="25">
        <v>2</v>
      </c>
      <c r="E18" s="3" t="str">
        <f t="shared" si="1"/>
        <v>fairday</v>
      </c>
      <c r="F18" s="3" t="str">
        <f>Sheet4!L17</f>
        <v>NNE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260</v>
      </c>
      <c r="D19" s="25">
        <v>6</v>
      </c>
      <c r="E19" s="3" t="str">
        <f t="shared" si="1"/>
        <v>partlycloudy</v>
      </c>
      <c r="F19" s="3" t="str">
        <f>Sheet4!L18</f>
        <v>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7">
        <v>43497</v>
      </c>
      <c r="B21" s="39" t="s">
        <v>25</v>
      </c>
      <c r="C21" s="34">
        <v>275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7">
        <v>43475</v>
      </c>
      <c r="B22" s="39" t="s">
        <v>26</v>
      </c>
      <c r="C22" s="34">
        <v>104</v>
      </c>
      <c r="D22" s="25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7">
        <v>330601</v>
      </c>
      <c r="B23" s="39" t="s">
        <v>27</v>
      </c>
      <c r="C23" s="34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219</v>
      </c>
      <c r="L1" t="str">
        <f>VLOOKUP(K1,A$2:B$363,2,FALSE)</f>
        <v>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267</v>
      </c>
      <c r="L6" t="str">
        <f t="shared" si="0"/>
        <v>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246</v>
      </c>
      <c r="L7" t="str">
        <f t="shared" si="0"/>
        <v>WSW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248</v>
      </c>
      <c r="L13" t="str">
        <f t="shared" si="0"/>
        <v>WSW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299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321</v>
      </c>
      <c r="L16" t="str">
        <f t="shared" si="0"/>
        <v>NW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22</v>
      </c>
      <c r="L17" t="str">
        <f t="shared" si="0"/>
        <v>NNE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275</v>
      </c>
      <c r="L20" t="str">
        <f t="shared" si="0"/>
        <v>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104</v>
      </c>
      <c r="L21" t="str">
        <f t="shared" si="0"/>
        <v>ESE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2026-07-02T09:35:04Z</dcterms:modified>
</cp:coreProperties>
</file>