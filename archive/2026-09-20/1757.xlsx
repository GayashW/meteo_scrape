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9-September\"/>
    </mc:Choice>
  </mc:AlternateContent>
  <xr:revisionPtr revIDLastSave="0" documentId="13_ncr:1_{226CED3E-5F68-47CC-BCC8-42E2AA9CAF8D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Sheet1!$A$1:$O$1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2" l="1"/>
  <c r="E2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K2" i="4" l="1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<sst xmlns="http://schemas.openxmlformats.org/spreadsheetml/2006/main" count="651" uniqueCount="111">
  <si>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</si>
  <si>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</si>
  <si>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</si>
  <si>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</si>
  <si>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</si>
  <si>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</si>
  <si>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</si>
  <si>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</si>
  <si>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</si>
  <si>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</si>
  <si>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</si>
  <si>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</si>
  <si>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</si>
  <si>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</si>
  <si>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</si>
  <si>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</si>
  <si>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</si>
  <si>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</si>
  <si>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</si>
  <si>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</si>
  <si>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</si>
  <si>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</si>
  <si>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</si>
  <si>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</si>
  <si>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</si>
  <si>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</si>
  <si>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</si>
  <si>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</si>
  <si>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</si>
  <si>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</si>
  <si>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</si>
  <si>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</si>
  <si>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</si>
  <si>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</si>
  <si>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</si>
  <si>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</si>
  <si>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</si>
  <si>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</si>
  <si>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</si>
  <si>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</si>
  <si>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</si>
  <si>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</si>
  <si>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</si>
  <si>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</si>
  <si>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</si>
  <si>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</si>
  <si>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</si>
  <si>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</si>
  <si>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</si>
  <si>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</si>
  <si>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</si>
  <si>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</si>
  <si>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</si>
  <si>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</si>
  <si>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</si>
  <si>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</si>
  <si>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</si>
  <si>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</si>
  <si>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</si>
  <si>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</si>
  <si>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</si>
  <si>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</si>
  <si>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</si>
  <si>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</si>
  <si>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</si>
  <si>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</si>
  <si>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</si>
  <si>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</si>
  <si>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</si>
  <si>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</si>
  <si>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</si>
  <si>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</si>
  <si>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</si>
  <si>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</si>
  <si>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</si>
  <si>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</si>
  <si>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</si>
  <si>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</si>
  <si>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</si>
  <si>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</si>
  <si>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Dew Point</t>
  </si>
  <si>
    <t>TRACE</t>
  </si>
  <si>
    <t>0.1</t>
  </si>
  <si>
    <t>28.0</t>
  </si>
  <si>
    <t>4.0</t>
  </si>
  <si>
    <t>1011.0</t>
  </si>
  <si>
    <t>9.6</t>
  </si>
  <si>
    <t>1.4</t>
  </si>
  <si>
    <t>0.5</t>
  </si>
  <si>
    <t>14.0</t>
  </si>
  <si>
    <t>2026-09-20 1730</t>
  </si>
  <si>
    <t>18.6</t>
  </si>
  <si>
    <t>6.0</t>
  </si>
  <si>
    <t>0.7</t>
  </si>
  <si>
    <t>13.1</t>
  </si>
  <si>
    <t>6.5</t>
  </si>
  <si>
    <t>5.0</t>
  </si>
  <si>
    <t>9.0</t>
  </si>
  <si>
    <t>6.8</t>
  </si>
  <si>
    <t>1010.0</t>
  </si>
  <si>
    <t>24.1</t>
  </si>
  <si>
    <t>2026-09-20 2030</t>
  </si>
  <si>
    <t>Trace</t>
  </si>
  <si>
    <t>25.0</t>
  </si>
  <si>
    <t>27.0</t>
  </si>
  <si>
    <t>22.0</t>
  </si>
  <si>
    <t>26.0</t>
  </si>
  <si>
    <t>10.0</t>
  </si>
  <si>
    <t>1014.0</t>
  </si>
  <si>
    <t>1013.0</t>
  </si>
  <si>
    <t>24.0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</si>
</sst>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Q13" sqref="Q13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80</v>
      </c>
    </row>
    <row r="2" spans="1:15" ht="15.75" customHeight="1" x14ac:dyDescent="0.25">
      <c r="A2" s="1">
        <v>43413</v>
      </c>
      <c r="B2" s="2" t="s">
        <v>9</v>
      </c>
      <c r="C2" s="25" t="s">
        <v>101</v>
      </c>
      <c r="D2" s="35">
        <v>3.3</v>
      </c>
      <c r="E2" s="35">
        <v>3.3</v>
      </c>
      <c r="F2" s="35">
        <v>25.3</v>
      </c>
      <c r="G2" s="35">
        <v>96</v>
      </c>
      <c r="H2" s="35" t="s">
        <v>41</v>
      </c>
      <c r="I2" s="35" t="s">
        <v>72</v>
      </c>
      <c r="J2" s="35">
        <v>7.56</v>
      </c>
      <c r="K2" s="35">
        <v>6</v>
      </c>
      <c r="L2" s="35">
        <v>1011.9</v>
      </c>
      <c r="M2" s="35">
        <v>24.7</v>
      </c>
    </row>
    <row r="3" spans="1:15" ht="15.75" customHeight="1" x14ac:dyDescent="0.25">
      <c r="A3" s="1">
        <v>43415</v>
      </c>
      <c r="B3" s="1" t="s">
        <v>10</v>
      </c>
      <c r="C3" s="25" t="s">
        <v>101</v>
      </c>
      <c r="D3" s="35" t="s">
        <v>79</v>
      </c>
      <c r="E3" s="35">
        <v>2.9</v>
      </c>
      <c r="F3" s="35" t="s">
        <v>103</v>
      </c>
      <c r="G3" s="35">
        <v>90</v>
      </c>
      <c r="H3" s="35" t="s">
        <v>35</v>
      </c>
      <c r="I3" s="35" t="s">
        <v>66</v>
      </c>
      <c r="J3" s="35" t="s">
        <v>79</v>
      </c>
      <c r="K3" s="35">
        <v>8</v>
      </c>
      <c r="L3" s="35">
        <v>1012.8</v>
      </c>
      <c r="M3" s="35">
        <v>23.2</v>
      </c>
    </row>
    <row r="4" spans="1:15" ht="15.75" customHeight="1" x14ac:dyDescent="0.25">
      <c r="A4" s="1">
        <v>43418</v>
      </c>
      <c r="B4" s="2" t="s">
        <v>11</v>
      </c>
      <c r="C4" s="25" t="s">
        <v>101</v>
      </c>
      <c r="D4" s="35" t="s">
        <v>79</v>
      </c>
      <c r="E4" s="35" t="s">
        <v>79</v>
      </c>
      <c r="F4" s="35">
        <v>27.5</v>
      </c>
      <c r="G4" s="35">
        <v>81</v>
      </c>
      <c r="H4" s="35" t="s">
        <v>35</v>
      </c>
      <c r="I4" s="35" t="s">
        <v>55</v>
      </c>
      <c r="J4" s="35" t="s">
        <v>107</v>
      </c>
      <c r="K4" s="35">
        <v>7</v>
      </c>
      <c r="L4" s="35">
        <v>1011.6</v>
      </c>
      <c r="M4" s="35" t="s">
        <v>110</v>
      </c>
    </row>
    <row r="5" spans="1:15" ht="15.75" customHeight="1" x14ac:dyDescent="0.25">
      <c r="A5" s="1">
        <v>43421</v>
      </c>
      <c r="B5" s="2" t="s">
        <v>12</v>
      </c>
      <c r="C5" s="25" t="s">
        <v>101</v>
      </c>
      <c r="D5" s="35" t="s">
        <v>79</v>
      </c>
      <c r="E5" s="35">
        <v>12.9</v>
      </c>
      <c r="F5" s="35" t="s">
        <v>104</v>
      </c>
      <c r="G5" s="35">
        <v>83</v>
      </c>
      <c r="H5" s="35" t="s">
        <v>35</v>
      </c>
      <c r="I5" s="35" t="s">
        <v>57</v>
      </c>
      <c r="J5" s="35">
        <v>6.48</v>
      </c>
      <c r="K5" s="35">
        <v>7</v>
      </c>
      <c r="L5" s="35">
        <v>1012.7</v>
      </c>
      <c r="M5" s="35">
        <v>24.3</v>
      </c>
      <c r="N5" s="24"/>
      <c r="O5" s="24"/>
    </row>
    <row r="6" spans="1:15" ht="15.75" customHeight="1" x14ac:dyDescent="0.25">
      <c r="A6" s="1">
        <v>43424</v>
      </c>
      <c r="B6" s="1" t="s">
        <v>14</v>
      </c>
      <c r="C6" s="25" t="s">
        <v>101</v>
      </c>
      <c r="D6" s="35" t="s">
        <v>79</v>
      </c>
      <c r="E6" s="35" t="s">
        <v>79</v>
      </c>
      <c r="F6" s="35">
        <v>28.6</v>
      </c>
      <c r="G6" s="35">
        <v>85</v>
      </c>
      <c r="H6" s="35" t="s">
        <v>35</v>
      </c>
      <c r="I6" s="35" t="s">
        <v>61</v>
      </c>
      <c r="J6" s="35">
        <v>6.1</v>
      </c>
      <c r="K6" s="35">
        <v>8</v>
      </c>
      <c r="L6" s="35">
        <v>1012.7</v>
      </c>
      <c r="M6" s="35">
        <v>25.8</v>
      </c>
      <c r="N6" s="24"/>
      <c r="O6" s="24"/>
    </row>
    <row r="7" spans="1:15" ht="15.75" customHeight="1" x14ac:dyDescent="0.25">
      <c r="A7" s="1">
        <v>43436</v>
      </c>
      <c r="B7" s="2" t="s">
        <v>15</v>
      </c>
      <c r="C7" s="25" t="s">
        <v>101</v>
      </c>
      <c r="D7" s="35" t="s">
        <v>102</v>
      </c>
      <c r="E7" s="35">
        <v>3.2</v>
      </c>
      <c r="F7" s="35">
        <v>27.8</v>
      </c>
      <c r="G7" s="35">
        <v>86</v>
      </c>
      <c r="H7" s="35" t="s">
        <v>35</v>
      </c>
      <c r="I7" s="35" t="s">
        <v>66</v>
      </c>
      <c r="J7" s="35" t="s">
        <v>79</v>
      </c>
      <c r="K7" s="35">
        <v>6</v>
      </c>
      <c r="L7" s="35" t="s">
        <v>85</v>
      </c>
      <c r="M7" s="35">
        <v>25.2</v>
      </c>
      <c r="N7" s="24"/>
      <c r="O7" s="24"/>
    </row>
    <row r="8" spans="1:15" ht="15.75" customHeight="1" x14ac:dyDescent="0.25">
      <c r="A8" s="1">
        <v>43441</v>
      </c>
      <c r="B8" s="2" t="s">
        <v>16</v>
      </c>
      <c r="C8" s="25" t="s">
        <v>101</v>
      </c>
      <c r="D8" s="35">
        <v>15.5</v>
      </c>
      <c r="E8" s="35">
        <v>70.400000000000006</v>
      </c>
      <c r="F8" s="35">
        <v>24.7</v>
      </c>
      <c r="G8" s="35">
        <v>97</v>
      </c>
      <c r="H8" s="35" t="s">
        <v>41</v>
      </c>
      <c r="I8" s="35" t="s">
        <v>56</v>
      </c>
      <c r="J8" s="35">
        <v>5.8</v>
      </c>
      <c r="K8" s="35">
        <v>8</v>
      </c>
      <c r="L8" s="35">
        <v>1013.6</v>
      </c>
      <c r="M8" s="35">
        <v>24.3</v>
      </c>
      <c r="N8" s="24"/>
      <c r="O8" s="24"/>
    </row>
    <row r="9" spans="1:15" ht="15.75" customHeight="1" x14ac:dyDescent="0.25">
      <c r="A9" s="1">
        <v>43444</v>
      </c>
      <c r="B9" s="2" t="s">
        <v>30</v>
      </c>
      <c r="C9" s="25" t="s">
        <v>101</v>
      </c>
      <c r="D9" s="35">
        <v>0.9</v>
      </c>
      <c r="E9" s="35">
        <v>25.2</v>
      </c>
      <c r="F9" s="35">
        <v>23.3</v>
      </c>
      <c r="G9" s="35">
        <v>93</v>
      </c>
      <c r="H9" s="35" t="s">
        <v>45</v>
      </c>
      <c r="I9" s="35" t="s">
        <v>61</v>
      </c>
      <c r="J9" s="35">
        <v>7.6</v>
      </c>
      <c r="K9" s="35">
        <v>8</v>
      </c>
      <c r="L9" s="35">
        <v>1013.9</v>
      </c>
      <c r="M9" s="35" t="s">
        <v>105</v>
      </c>
      <c r="N9" s="24"/>
      <c r="O9" s="24"/>
    </row>
    <row r="10" spans="1:15" ht="15.75" customHeight="1" x14ac:dyDescent="0.25">
      <c r="A10" s="1">
        <v>43450</v>
      </c>
      <c r="B10" s="2" t="s">
        <v>17</v>
      </c>
      <c r="C10" s="25" t="s">
        <v>101</v>
      </c>
      <c r="D10" s="35" t="s">
        <v>102</v>
      </c>
      <c r="E10" s="35" t="s">
        <v>92</v>
      </c>
      <c r="F10" s="35">
        <v>27.9</v>
      </c>
      <c r="G10" s="35">
        <v>82</v>
      </c>
      <c r="H10" s="35" t="s">
        <v>44</v>
      </c>
      <c r="I10" s="35" t="s">
        <v>55</v>
      </c>
      <c r="J10" s="35">
        <v>4.7</v>
      </c>
      <c r="K10" s="35">
        <v>8</v>
      </c>
      <c r="L10" s="35">
        <v>1013.8</v>
      </c>
      <c r="M10" s="35">
        <v>24.5</v>
      </c>
      <c r="N10" s="24"/>
      <c r="O10" s="24"/>
    </row>
    <row r="11" spans="1:15" ht="15.75" customHeight="1" x14ac:dyDescent="0.25">
      <c r="A11" s="1">
        <v>43466</v>
      </c>
      <c r="B11" s="2" t="s">
        <v>18</v>
      </c>
      <c r="C11" s="25" t="s">
        <v>101</v>
      </c>
      <c r="D11" s="35" t="s">
        <v>79</v>
      </c>
      <c r="E11" s="35">
        <v>0.2</v>
      </c>
      <c r="F11" s="35">
        <v>27.9</v>
      </c>
      <c r="G11" s="35">
        <v>81</v>
      </c>
      <c r="H11" s="35" t="s">
        <v>35</v>
      </c>
      <c r="I11" s="35" t="s">
        <v>57</v>
      </c>
      <c r="J11" s="35">
        <v>3.96</v>
      </c>
      <c r="K11" s="35">
        <v>8</v>
      </c>
      <c r="L11" s="35">
        <v>1014.2</v>
      </c>
      <c r="M11" s="35">
        <v>24.3</v>
      </c>
      <c r="N11" s="24"/>
      <c r="O11" s="24"/>
    </row>
    <row r="12" spans="1:15" ht="15.75" customHeight="1" x14ac:dyDescent="0.25">
      <c r="A12" s="1">
        <v>43467</v>
      </c>
      <c r="B12" s="2" t="s">
        <v>19</v>
      </c>
      <c r="C12" s="25" t="s">
        <v>101</v>
      </c>
      <c r="D12" s="35" t="s">
        <v>79</v>
      </c>
      <c r="E12" s="35">
        <v>1.1000000000000001</v>
      </c>
      <c r="F12" s="35">
        <v>27.8</v>
      </c>
      <c r="G12" s="35">
        <v>84</v>
      </c>
      <c r="H12" s="35" t="s">
        <v>35</v>
      </c>
      <c r="I12" s="35" t="s">
        <v>55</v>
      </c>
      <c r="J12" s="35">
        <v>7.2</v>
      </c>
      <c r="K12" s="35">
        <v>7</v>
      </c>
      <c r="L12" s="35">
        <v>1013.9</v>
      </c>
      <c r="M12" s="35">
        <v>24.7</v>
      </c>
      <c r="N12" s="24"/>
      <c r="O12" s="24"/>
    </row>
    <row r="13" spans="1:15" ht="15.75" customHeight="1" x14ac:dyDescent="0.25">
      <c r="A13" s="1">
        <v>43473</v>
      </c>
      <c r="B13" s="2" t="s">
        <v>20</v>
      </c>
      <c r="C13" s="25" t="s">
        <v>101</v>
      </c>
      <c r="D13" s="35">
        <v>5.6</v>
      </c>
      <c r="E13" s="35">
        <v>45.5</v>
      </c>
      <c r="F13" s="35">
        <v>15.9</v>
      </c>
      <c r="G13" s="35">
        <v>98</v>
      </c>
      <c r="H13" s="35" t="s">
        <v>44</v>
      </c>
      <c r="I13" s="35" t="s">
        <v>58</v>
      </c>
      <c r="J13" s="35">
        <v>16.920000000000002</v>
      </c>
      <c r="K13" s="35">
        <v>8</v>
      </c>
      <c r="L13" s="35" t="s">
        <v>78</v>
      </c>
      <c r="M13" s="35">
        <v>15.6</v>
      </c>
      <c r="N13" s="24"/>
      <c r="O13" s="24"/>
    </row>
    <row r="14" spans="1:15" ht="15.75" customHeight="1" x14ac:dyDescent="0.25">
      <c r="A14" s="1">
        <v>43479</v>
      </c>
      <c r="B14" s="1" t="s">
        <v>22</v>
      </c>
      <c r="C14" s="25" t="s">
        <v>101</v>
      </c>
      <c r="D14" s="35">
        <v>1.5</v>
      </c>
      <c r="E14" s="35">
        <v>10.3</v>
      </c>
      <c r="F14" s="35" t="s">
        <v>105</v>
      </c>
      <c r="G14" s="35">
        <v>96</v>
      </c>
      <c r="H14" s="35" t="s">
        <v>45</v>
      </c>
      <c r="I14" s="35" t="s">
        <v>56</v>
      </c>
      <c r="J14" s="35">
        <v>6.48</v>
      </c>
      <c r="K14" s="35">
        <v>8</v>
      </c>
      <c r="L14" s="35" t="s">
        <v>78</v>
      </c>
      <c r="M14" s="35">
        <v>21.4</v>
      </c>
    </row>
    <row r="15" spans="1:15" ht="15.75" customHeight="1" x14ac:dyDescent="0.25">
      <c r="A15" s="1">
        <v>43486</v>
      </c>
      <c r="B15" s="2" t="s">
        <v>23</v>
      </c>
      <c r="C15" s="25" t="s">
        <v>101</v>
      </c>
      <c r="D15" s="35">
        <v>3.5</v>
      </c>
      <c r="E15" s="35">
        <v>29.2</v>
      </c>
      <c r="F15" s="35">
        <v>24.9</v>
      </c>
      <c r="G15" s="35">
        <v>99</v>
      </c>
      <c r="H15" s="35" t="s">
        <v>41</v>
      </c>
      <c r="I15" s="35" t="s">
        <v>74</v>
      </c>
      <c r="J15" s="35">
        <v>4.68</v>
      </c>
      <c r="K15" s="35">
        <v>8</v>
      </c>
      <c r="L15" s="35">
        <v>1013.9</v>
      </c>
      <c r="M15" s="35">
        <v>24.7</v>
      </c>
    </row>
    <row r="16" spans="1:15" ht="15.75" customHeight="1" x14ac:dyDescent="0.25">
      <c r="A16" s="1">
        <v>43495</v>
      </c>
      <c r="B16" s="2" t="s">
        <v>24</v>
      </c>
      <c r="C16" s="25" t="s">
        <v>101</v>
      </c>
      <c r="D16" s="35" t="s">
        <v>96</v>
      </c>
      <c r="E16" s="35">
        <v>21.6</v>
      </c>
      <c r="F16" s="35" t="s">
        <v>106</v>
      </c>
      <c r="G16" s="35">
        <v>93</v>
      </c>
      <c r="H16" s="35" t="s">
        <v>45</v>
      </c>
      <c r="I16" s="35" t="s">
        <v>61</v>
      </c>
      <c r="J16" s="35" t="s">
        <v>84</v>
      </c>
      <c r="K16" s="35">
        <v>8</v>
      </c>
      <c r="L16" s="35" t="s">
        <v>108</v>
      </c>
      <c r="M16" s="35">
        <v>24.9</v>
      </c>
    </row>
    <row r="17" spans="1:15" ht="15.75" customHeight="1" x14ac:dyDescent="0.25">
      <c r="A17" s="1">
        <v>43497</v>
      </c>
      <c r="B17" s="2" t="s">
        <v>25</v>
      </c>
      <c r="C17" s="25" t="s">
        <v>101</v>
      </c>
      <c r="D17" s="35" t="s">
        <v>79</v>
      </c>
      <c r="E17" s="35">
        <v>2.5</v>
      </c>
      <c r="F17" s="35">
        <v>26.5</v>
      </c>
      <c r="G17" s="35">
        <v>94</v>
      </c>
      <c r="H17" s="35" t="s">
        <v>45</v>
      </c>
      <c r="I17" s="35" t="s">
        <v>57</v>
      </c>
      <c r="J17" s="35">
        <v>9.7200000000000006</v>
      </c>
      <c r="K17" s="35">
        <v>7</v>
      </c>
      <c r="L17" s="35" t="s">
        <v>109</v>
      </c>
      <c r="M17" s="35">
        <v>25.6</v>
      </c>
    </row>
    <row r="18" spans="1:15" ht="15.75" customHeight="1" x14ac:dyDescent="0.25">
      <c r="A18" s="1">
        <v>330601</v>
      </c>
      <c r="B18" s="2" t="s">
        <v>27</v>
      </c>
      <c r="C18" s="25" t="s">
        <v>101</v>
      </c>
      <c r="D18" s="35">
        <v>0.2</v>
      </c>
      <c r="E18" s="35">
        <v>1.2</v>
      </c>
      <c r="F18" s="35">
        <v>25.4</v>
      </c>
      <c r="G18" s="35">
        <v>97</v>
      </c>
      <c r="H18" s="35" t="s">
        <v>35</v>
      </c>
      <c r="I18" s="35" t="s">
        <v>57</v>
      </c>
      <c r="J18" s="35">
        <v>10.4</v>
      </c>
      <c r="K18" s="35">
        <v>7</v>
      </c>
      <c r="L18" s="35">
        <v>1013.3</v>
      </c>
      <c r="M18" s="35">
        <v>24.8</v>
      </c>
      <c r="N18" s="24"/>
      <c r="O18" s="24"/>
    </row>
    <row r="19" spans="1:15" ht="15.75" customHeight="1" x14ac:dyDescent="0.25">
      <c r="A19" s="1">
        <v>43404</v>
      </c>
      <c r="B19" s="1" t="s">
        <v>7</v>
      </c>
      <c r="C19" s="25" t="s">
        <v>90</v>
      </c>
      <c r="D19" s="35" t="s">
        <v>91</v>
      </c>
      <c r="E19" s="35" t="s">
        <v>91</v>
      </c>
      <c r="F19" s="24">
        <v>23.9</v>
      </c>
      <c r="G19" s="3">
        <v>97</v>
      </c>
      <c r="H19" s="3" t="s">
        <v>41</v>
      </c>
      <c r="I19" s="3" t="s">
        <v>58</v>
      </c>
      <c r="J19" s="24" t="s">
        <v>95</v>
      </c>
      <c r="K19" s="3">
        <v>8</v>
      </c>
      <c r="L19" s="24" t="s">
        <v>99</v>
      </c>
      <c r="M19" s="24">
        <v>23.9</v>
      </c>
    </row>
    <row r="20" spans="1:15" ht="15.75" customHeight="1" x14ac:dyDescent="0.25">
      <c r="A20" s="3">
        <v>43410</v>
      </c>
      <c r="B20" s="3" t="s">
        <v>8</v>
      </c>
      <c r="C20" s="25" t="s">
        <v>90</v>
      </c>
      <c r="D20" s="35" t="s">
        <v>84</v>
      </c>
      <c r="E20" s="35" t="s">
        <v>84</v>
      </c>
      <c r="F20" s="24">
        <v>27.8</v>
      </c>
      <c r="G20" s="3">
        <v>91</v>
      </c>
      <c r="H20" s="3" t="s">
        <v>34</v>
      </c>
      <c r="I20" s="3" t="s">
        <v>55</v>
      </c>
      <c r="J20" s="24" t="s">
        <v>89</v>
      </c>
      <c r="K20" s="3">
        <v>5</v>
      </c>
      <c r="L20" s="24">
        <v>1009.2</v>
      </c>
      <c r="M20" s="24">
        <v>26.2</v>
      </c>
    </row>
    <row r="21" spans="1:15" ht="15.75" customHeight="1" x14ac:dyDescent="0.25">
      <c r="A21" s="1">
        <v>43422</v>
      </c>
      <c r="B21" s="1" t="s">
        <v>13</v>
      </c>
      <c r="C21" s="25" t="s">
        <v>90</v>
      </c>
      <c r="D21" s="35" t="s">
        <v>79</v>
      </c>
      <c r="E21" s="35" t="s">
        <v>86</v>
      </c>
      <c r="F21" s="24">
        <v>26.7</v>
      </c>
      <c r="G21" s="3">
        <v>92</v>
      </c>
      <c r="H21" s="3" t="s">
        <v>35</v>
      </c>
      <c r="I21" s="3" t="s">
        <v>62</v>
      </c>
      <c r="J21" s="24" t="s">
        <v>87</v>
      </c>
      <c r="K21" s="3">
        <v>8</v>
      </c>
      <c r="L21" s="24">
        <v>1010.9</v>
      </c>
      <c r="M21" s="24">
        <v>25.3</v>
      </c>
      <c r="N21" s="24"/>
      <c r="O21" s="24"/>
    </row>
    <row r="22" spans="1:15" ht="15.75" customHeight="1" x14ac:dyDescent="0.25">
      <c r="A22" s="1">
        <v>43476</v>
      </c>
      <c r="B22" s="1" t="s">
        <v>21</v>
      </c>
      <c r="C22" s="25" t="s">
        <v>90</v>
      </c>
      <c r="D22" s="35" t="s">
        <v>93</v>
      </c>
      <c r="E22" s="35" t="s">
        <v>94</v>
      </c>
      <c r="F22" s="24">
        <v>20.5</v>
      </c>
      <c r="G22" s="3">
        <v>95</v>
      </c>
      <c r="H22" s="3" t="s">
        <v>44</v>
      </c>
      <c r="I22" s="3" t="s">
        <v>61</v>
      </c>
      <c r="J22" s="24" t="s">
        <v>96</v>
      </c>
      <c r="K22" s="3">
        <v>8</v>
      </c>
      <c r="L22" s="24" t="s">
        <v>78</v>
      </c>
      <c r="M22" s="24">
        <v>19.7</v>
      </c>
      <c r="N22" s="24"/>
      <c r="O22" s="24"/>
    </row>
    <row r="23" spans="1:15" ht="15" x14ac:dyDescent="0.25">
      <c r="A23" s="1">
        <v>43475</v>
      </c>
      <c r="B23" s="2" t="s">
        <v>26</v>
      </c>
      <c r="C23" s="25" t="s">
        <v>90</v>
      </c>
      <c r="D23" s="35" t="s">
        <v>81</v>
      </c>
      <c r="E23" s="35" t="s">
        <v>82</v>
      </c>
      <c r="F23" s="24">
        <v>28.8</v>
      </c>
      <c r="G23" s="3">
        <v>75</v>
      </c>
      <c r="H23" s="3" t="s">
        <v>35</v>
      </c>
      <c r="I23" s="3" t="s">
        <v>55</v>
      </c>
      <c r="J23" s="24" t="s">
        <v>97</v>
      </c>
      <c r="K23" s="3">
        <v>8</v>
      </c>
      <c r="L23" s="24">
        <v>1010</v>
      </c>
      <c r="M23" s="24" t="s">
        <v>100</v>
      </c>
      <c r="N23" s="24"/>
      <c r="O23" s="24"/>
    </row>
    <row r="24" spans="1:15" ht="15.75" customHeight="1" x14ac:dyDescent="0.25">
      <c r="A24" s="1">
        <v>821501</v>
      </c>
      <c r="B24" s="1" t="s">
        <v>28</v>
      </c>
      <c r="C24" s="25" t="s">
        <v>90</v>
      </c>
      <c r="D24" s="35" t="s">
        <v>81</v>
      </c>
      <c r="E24" s="35" t="s">
        <v>88</v>
      </c>
      <c r="F24" s="24">
        <v>26.8</v>
      </c>
      <c r="G24" s="3">
        <v>78</v>
      </c>
      <c r="H24" s="3" t="s">
        <v>44</v>
      </c>
      <c r="I24" s="3" t="s">
        <v>55</v>
      </c>
      <c r="J24" s="24" t="s">
        <v>84</v>
      </c>
      <c r="K24" s="3">
        <v>8</v>
      </c>
      <c r="L24" s="24">
        <v>1011.1</v>
      </c>
      <c r="M24" s="24">
        <v>22.7</v>
      </c>
      <c r="N24" s="24"/>
      <c r="O24" s="24"/>
    </row>
    <row r="25" spans="1:15" ht="15.75" customHeight="1" x14ac:dyDescent="0.25">
      <c r="A25" s="1">
        <v>721501</v>
      </c>
      <c r="B25" s="1" t="s">
        <v>29</v>
      </c>
      <c r="C25" s="25" t="s">
        <v>90</v>
      </c>
      <c r="D25" s="35" t="s">
        <v>82</v>
      </c>
      <c r="E25" s="35" t="s">
        <v>82</v>
      </c>
      <c r="F25" s="24" t="s">
        <v>83</v>
      </c>
      <c r="G25" s="3">
        <v>79</v>
      </c>
      <c r="H25" s="3" t="s">
        <v>35</v>
      </c>
      <c r="I25" s="3" t="s">
        <v>57</v>
      </c>
      <c r="J25" s="24" t="s">
        <v>98</v>
      </c>
      <c r="K25" s="3">
        <v>7</v>
      </c>
      <c r="L25" s="24">
        <v>1009.5</v>
      </c>
      <c r="M25" s="24">
        <v>23.9</v>
      </c>
      <c r="N25" s="24"/>
      <c r="O25" s="24"/>
    </row>
  </sheetData>
  <sortState xmlns:xlrd2="http://schemas.microsoft.com/office/spreadsheetml/2017/richdata2" ref="A2:O18">
    <sortCondition ref="A2:A18"/>
  </sortState>
  <phoneticPr fontId="2" type="noConversion"/>
  <dataValidations count="1">
    <dataValidation type="list" allowBlank="1" showInputMessage="1" showErrorMessage="1" sqref="H1:I1 H2:H18 H19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1000000}">
          <x14:formula1>
            <xm:f>Sheet4!$Q$1:$Q$16</xm:f>
          </x14:formula1>
          <xm:sqref>I1 I19:I25</xm:sqref>
        </x14:dataValidation>
        <x14:dataValidation type="list" allowBlank="1" showInputMessage="1" showErrorMessage="1" xr:uid="{FE7A3C99-9F31-471A-BBAF-40D58D001057}">
          <x14:formula1>
            <xm:f>Sheet4!$Q$1:$Q$18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F2" sqref="F2:F18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184</v>
      </c>
      <c r="D2">
        <v>12</v>
      </c>
      <c r="E2" s="3" t="str">
        <f>VLOOKUP(D2,$G$1:$H$19,2,FALSE)</f>
        <v>thundershowers</v>
      </c>
      <c r="F2" s="3" t="str">
        <f>Sheet4!L1</f>
        <v>S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0</v>
      </c>
      <c r="D3">
        <v>6</v>
      </c>
      <c r="E3" s="3" t="str">
        <f t="shared" ref="E3:E25" si="1">VLOOKUP(D3,$G$1:$H$19,2,FALSE)</f>
        <v>partlycloudy</v>
      </c>
      <c r="F3" s="3" t="str">
        <f>Sheet4!L2</f>
        <v>CALM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230</v>
      </c>
      <c r="D4">
        <v>5</v>
      </c>
      <c r="E4" s="3" t="str">
        <f t="shared" si="1"/>
        <v>cloudy</v>
      </c>
      <c r="F4" s="3" t="str">
        <f>Sheet4!L3</f>
        <v>SW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259</v>
      </c>
      <c r="D5">
        <v>5</v>
      </c>
      <c r="E5" s="3" t="str">
        <f t="shared" si="1"/>
        <v>cloudy</v>
      </c>
      <c r="F5" s="3" t="str">
        <f>Sheet4!L4</f>
        <v>WSW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260</v>
      </c>
      <c r="D6">
        <v>5</v>
      </c>
      <c r="E6" s="3" t="str">
        <f t="shared" si="1"/>
        <v>cloudy</v>
      </c>
      <c r="F6" s="3" t="str">
        <f>Sheet4!L5</f>
        <v>W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0</v>
      </c>
      <c r="D7">
        <v>5</v>
      </c>
      <c r="E7" s="3" t="str">
        <f t="shared" si="1"/>
        <v>cloudy</v>
      </c>
      <c r="F7" s="3" t="str">
        <f>Sheet4!L6</f>
        <v>CALM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210</v>
      </c>
      <c r="D8">
        <v>5</v>
      </c>
      <c r="E8" s="3" t="str">
        <f t="shared" si="1"/>
        <v>cloudy</v>
      </c>
      <c r="F8" s="3" t="str">
        <f>Sheet4!L7</f>
        <v>SSW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270</v>
      </c>
      <c r="D9">
        <v>5</v>
      </c>
      <c r="E9" s="3" t="str">
        <f t="shared" si="1"/>
        <v>cloudy</v>
      </c>
      <c r="F9" s="3" t="str">
        <f>Sheet4!L8</f>
        <v>W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228</v>
      </c>
      <c r="D10">
        <v>11</v>
      </c>
      <c r="E10" s="3" t="str">
        <f t="shared" si="1"/>
        <v>showers</v>
      </c>
      <c r="F10" s="3" t="str">
        <f>Sheet4!L9</f>
        <v>SW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243</v>
      </c>
      <c r="D11">
        <v>4</v>
      </c>
      <c r="E11" s="3" t="str">
        <f t="shared" si="1"/>
        <v>drizzling</v>
      </c>
      <c r="F11" s="3" t="str">
        <f>Sheet4!L10</f>
        <v>WSW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230</v>
      </c>
      <c r="D12">
        <v>11</v>
      </c>
      <c r="E12" s="3" t="str">
        <f t="shared" si="1"/>
        <v>showers</v>
      </c>
      <c r="F12" s="3" t="str">
        <f>Sheet4!L11</f>
        <v>SW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283</v>
      </c>
      <c r="D13">
        <v>5</v>
      </c>
      <c r="E13" s="3" t="str">
        <f t="shared" si="1"/>
        <v>cloudy</v>
      </c>
      <c r="F13" s="3" t="str">
        <f>Sheet4!L12</f>
        <v>WNW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201</v>
      </c>
      <c r="D14">
        <v>5</v>
      </c>
      <c r="E14" s="3" t="str">
        <f t="shared" si="1"/>
        <v>cloudy</v>
      </c>
      <c r="F14" s="3" t="str">
        <f>Sheet4!L13</f>
        <v>SSW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348</v>
      </c>
      <c r="D15">
        <v>5</v>
      </c>
      <c r="E15" s="3" t="str">
        <f t="shared" si="1"/>
        <v>cloudy</v>
      </c>
      <c r="F15" s="3" t="str">
        <f>Sheet4!L14</f>
        <v>NNW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263</v>
      </c>
      <c r="D16">
        <v>11</v>
      </c>
      <c r="E16" s="3" t="str">
        <f t="shared" si="1"/>
        <v>showers</v>
      </c>
      <c r="F16" s="3" t="str">
        <f>Sheet4!L15</f>
        <v>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241</v>
      </c>
      <c r="D17">
        <v>1</v>
      </c>
      <c r="E17" s="3" t="str">
        <f t="shared" si="1"/>
        <v>rain</v>
      </c>
      <c r="F17" s="3" t="str">
        <f>Sheet4!L16</f>
        <v>WSW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240</v>
      </c>
      <c r="D18">
        <v>11</v>
      </c>
      <c r="E18" s="3" t="str">
        <f t="shared" si="1"/>
        <v>showers</v>
      </c>
      <c r="F18" s="3" t="str">
        <f>Sheet4!L17</f>
        <v>WSW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30</v>
      </c>
      <c r="D19">
        <v>12</v>
      </c>
      <c r="E19" s="3" t="str">
        <f t="shared" si="1"/>
        <v>thundershowers</v>
      </c>
      <c r="F19" s="3" t="str">
        <f>Sheet4!L18</f>
        <v>NNE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253</v>
      </c>
      <c r="D20">
        <v>5</v>
      </c>
      <c r="E20" s="3" t="str">
        <f t="shared" si="1"/>
        <v>cloudy</v>
      </c>
      <c r="F20" s="3" t="str">
        <f>Sheet4!L19</f>
        <v>WSW</v>
      </c>
    </row>
    <row r="21" spans="1:14" x14ac:dyDescent="0.25">
      <c r="A21" s="32">
        <v>43497</v>
      </c>
      <c r="B21" s="34" t="s">
        <v>25</v>
      </c>
      <c r="C21">
        <v>236</v>
      </c>
      <c r="D21">
        <v>11</v>
      </c>
      <c r="E21" s="3" t="str">
        <f t="shared" si="1"/>
        <v>showers</v>
      </c>
      <c r="F21" s="3" t="str">
        <f>Sheet4!L20</f>
        <v>SW</v>
      </c>
    </row>
    <row r="22" spans="1:14" x14ac:dyDescent="0.25">
      <c r="A22" s="32">
        <v>43475</v>
      </c>
      <c r="B22" s="34" t="s">
        <v>26</v>
      </c>
      <c r="C22">
        <v>227</v>
      </c>
      <c r="D22">
        <v>5</v>
      </c>
      <c r="E22" s="3" t="str">
        <f t="shared" si="1"/>
        <v>cloudy</v>
      </c>
      <c r="F22" s="3" t="str">
        <f>Sheet4!L21</f>
        <v>SW</v>
      </c>
    </row>
    <row r="23" spans="1:14" x14ac:dyDescent="0.25">
      <c r="A23" s="32">
        <v>330601</v>
      </c>
      <c r="B23" s="34" t="s">
        <v>27</v>
      </c>
      <c r="C23">
        <v>250</v>
      </c>
      <c r="D23">
        <v>11</v>
      </c>
      <c r="E23" s="3" t="str">
        <f t="shared" si="1"/>
        <v>showers</v>
      </c>
      <c r="F23" s="3" t="str">
        <f>Sheet4!L22</f>
        <v>WSW</v>
      </c>
    </row>
    <row r="24" spans="1:14" x14ac:dyDescent="0.25">
      <c r="A24" s="32">
        <v>821501</v>
      </c>
      <c r="B24" s="32" t="s">
        <v>28</v>
      </c>
      <c r="C24">
        <v>230</v>
      </c>
      <c r="D24">
        <v>1</v>
      </c>
      <c r="E24" s="3" t="str">
        <f t="shared" si="1"/>
        <v>rain</v>
      </c>
      <c r="F24" s="3" t="str">
        <f>Sheet4!L23</f>
        <v>SW</v>
      </c>
    </row>
    <row r="25" spans="1:14" x14ac:dyDescent="0.25">
      <c r="A25" s="32">
        <v>721501</v>
      </c>
      <c r="B25" s="32" t="s">
        <v>29</v>
      </c>
      <c r="C25">
        <v>250</v>
      </c>
      <c r="D25">
        <v>5</v>
      </c>
      <c r="E25" s="3" t="str">
        <f t="shared" si="1"/>
        <v>cloudy</v>
      </c>
      <c r="F25" s="3" t="str">
        <f>Sheet4!L24</f>
        <v>WSW</v>
      </c>
    </row>
  </sheetData>
  <sheetProtection selectLockedCells="1"/>
  <protectedRanges>
    <protectedRange sqref="C2:D25" name="Range1"/>
  </protectedRanges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Q24" sqref="Q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184</v>
      </c>
      <c r="L1" t="str">
        <f>VLOOKUP(K1,A$2:B$363,2,FALSE)</f>
        <v>S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0</v>
      </c>
      <c r="L2" t="str">
        <f t="shared" ref="L2:L24" si="0">VLOOKUP(K2,A$2:B$363,2,FALSE)</f>
        <v>CALM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230</v>
      </c>
      <c r="L3" t="str">
        <f t="shared" si="0"/>
        <v>SW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259</v>
      </c>
      <c r="L4" t="str">
        <f t="shared" si="0"/>
        <v>WSW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260</v>
      </c>
      <c r="L5" t="str">
        <f t="shared" si="0"/>
        <v>W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0</v>
      </c>
      <c r="L6" t="str">
        <f t="shared" si="0"/>
        <v>CALM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210</v>
      </c>
      <c r="L7" t="str">
        <f t="shared" si="0"/>
        <v>SSW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270</v>
      </c>
      <c r="L8" t="str">
        <f t="shared" si="0"/>
        <v>W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228</v>
      </c>
      <c r="L9" t="str">
        <f t="shared" si="0"/>
        <v>SW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243</v>
      </c>
      <c r="L10" t="str">
        <f t="shared" si="0"/>
        <v>WSW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283</v>
      </c>
      <c r="L12" t="str">
        <f t="shared" si="0"/>
        <v>WNW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201</v>
      </c>
      <c r="L13" t="str">
        <f t="shared" si="0"/>
        <v>SSW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348</v>
      </c>
      <c r="L14" t="str">
        <f t="shared" si="0"/>
        <v>NNW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263</v>
      </c>
      <c r="L15" t="str">
        <f t="shared" si="0"/>
        <v>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241</v>
      </c>
      <c r="L16" t="str">
        <f t="shared" si="0"/>
        <v>WSW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240</v>
      </c>
      <c r="L17" t="str">
        <f t="shared" si="0"/>
        <v>WSW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30</v>
      </c>
      <c r="L18" t="str">
        <f t="shared" si="0"/>
        <v>NNE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253</v>
      </c>
      <c r="L19" t="str">
        <f t="shared" si="0"/>
        <v>WSW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236</v>
      </c>
      <c r="L20" t="str">
        <f t="shared" si="0"/>
        <v>SW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227</v>
      </c>
      <c r="L21" t="str">
        <f t="shared" si="0"/>
        <v>SW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250</v>
      </c>
      <c r="L24" t="str">
        <f t="shared" si="0"/>
        <v>WSW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2026-09-20T15:49:38Z</dcterms:modified>
</cp:coreProperties>
</file>