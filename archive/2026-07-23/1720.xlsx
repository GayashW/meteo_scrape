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5BC9DE3A-DF8F-4F6F-BA63-EABEFCB501D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<sst xmlns="http://schemas.openxmlformats.org/spreadsheetml/2006/main" count="652" uniqueCount="86">
  <si>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</si>
  <si>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</si>
  <si>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</si>
  <si>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</si>
  <si>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</si>
  <si>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</si>
  <si>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</si>
  <si>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</si>
  <si>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</si>
  <si>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</si>
  <si>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</si>
  <si>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</si>
  <si>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</si>
  <si>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</si>
  <si>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</si>
  <si>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</si>
  <si>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</si>
  <si>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</si>
  <si>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</si>
  <si>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</si>
  <si>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</si>
  <si>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</si>
  <si>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</si>
  <si>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</si>
  <si>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</si>
  <si>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</si>
  <si>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</si>
  <si>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</si>
  <si>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</si>
  <si>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</si>
  <si>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</si>
  <si>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</si>
  <si>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</si>
  <si>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</si>
  <si>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</si>
  <si>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</si>
  <si>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</si>
  <si>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</si>
  <si>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</si>
  <si>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</si>
  <si>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</si>
  <si>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</si>
  <si>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</si>
  <si>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</si>
  <si>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</si>
  <si>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</si>
  <si>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</si>
  <si>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</si>
  <si>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</si>
  <si>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</si>
  <si>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</si>
  <si>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</si>
  <si>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</si>
  <si>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</si>
  <si>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</si>
  <si>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</si>
  <si>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</si>
  <si>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</si>
  <si>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</si>
  <si>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</si>
  <si>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</si>
  <si>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</si>
  <si>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</si>
  <si>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</si>
  <si>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</si>
  <si>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</si>
  <si>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</si>
  <si>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</si>
  <si>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</si>
  <si>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</si>
  <si>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</si>
  <si>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</si>
  <si>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</si>
  <si>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</si>
  <si>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</si>
  <si>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</si>
  <si>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</si>
  <si>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</si>
  <si>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30.0</t>
  </si>
  <si>
    <t>29.0</t>
  </si>
  <si>
    <t>2026-07-23 2030</t>
  </si>
  <si>
    <t>21.0</t>
  </si>
  <si>
    <t>28.0</t>
  </si>
  <si>
    <t>10.0</t>
  </si>
  <si>
    <t>4.0</t>
  </si>
  <si>
    <t>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</si>
</sst>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Normal="100" workbookViewId="0">
      <selection activeCell="N9" sqref="N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80</v>
      </c>
      <c r="D2" s="40" t="s">
        <v>76</v>
      </c>
      <c r="E2" s="40" t="s">
        <v>76</v>
      </c>
      <c r="F2" s="24">
        <v>28.5</v>
      </c>
      <c r="G2" s="3">
        <v>82</v>
      </c>
      <c r="H2" s="3" t="s">
        <v>36</v>
      </c>
      <c r="I2" s="3" t="s">
        <v>56</v>
      </c>
      <c r="J2" s="24">
        <v>11.5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80</v>
      </c>
      <c r="D3" s="40" t="s">
        <v>76</v>
      </c>
      <c r="E3" s="40" t="s">
        <v>76</v>
      </c>
      <c r="F3" s="24">
        <v>29.5</v>
      </c>
      <c r="G3" s="3">
        <v>89</v>
      </c>
      <c r="H3" s="3" t="s">
        <v>38</v>
      </c>
      <c r="I3" s="3" t="s">
        <v>59</v>
      </c>
      <c r="J3" s="24" t="s">
        <v>83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80</v>
      </c>
      <c r="D4" s="40" t="s">
        <v>76</v>
      </c>
      <c r="E4" s="40" t="s">
        <v>76</v>
      </c>
      <c r="F4" s="24">
        <v>28.3</v>
      </c>
      <c r="G4" s="3">
        <v>86</v>
      </c>
      <c r="H4" s="3" t="s">
        <v>38</v>
      </c>
      <c r="I4" s="3" t="s">
        <v>56</v>
      </c>
      <c r="J4" s="24">
        <v>15.5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80</v>
      </c>
      <c r="D5" s="40" t="s">
        <v>76</v>
      </c>
      <c r="E5" s="40" t="s">
        <v>76</v>
      </c>
      <c r="F5" s="24">
        <v>28.8</v>
      </c>
      <c r="G5" s="3">
        <v>72</v>
      </c>
      <c r="H5" s="3" t="s">
        <v>38</v>
      </c>
      <c r="I5" s="3" t="s">
        <v>66</v>
      </c>
      <c r="J5" s="24" t="s">
        <v>76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80</v>
      </c>
      <c r="D6" s="40" t="s">
        <v>76</v>
      </c>
      <c r="E6" s="40" t="s">
        <v>76</v>
      </c>
      <c r="F6" s="24" t="s">
        <v>79</v>
      </c>
      <c r="G6" s="3">
        <v>83</v>
      </c>
      <c r="H6" s="3" t="s">
        <v>36</v>
      </c>
      <c r="I6" s="3" t="s">
        <v>72</v>
      </c>
      <c r="J6" s="24" t="s">
        <v>84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80</v>
      </c>
      <c r="D7" s="40" t="s">
        <v>76</v>
      </c>
      <c r="E7" s="40" t="s">
        <v>76</v>
      </c>
      <c r="F7" s="24">
        <v>28.2</v>
      </c>
      <c r="G7" s="3">
        <v>73</v>
      </c>
      <c r="H7" s="3" t="s">
        <v>38</v>
      </c>
      <c r="I7" s="3" t="s">
        <v>55</v>
      </c>
      <c r="J7" s="24">
        <v>5.4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80</v>
      </c>
      <c r="D8" s="40" t="s">
        <v>76</v>
      </c>
      <c r="E8" s="40" t="s">
        <v>76</v>
      </c>
      <c r="F8" s="24">
        <v>27.4</v>
      </c>
      <c r="G8" s="3">
        <v>77</v>
      </c>
      <c r="H8" s="3" t="s">
        <v>38</v>
      </c>
      <c r="I8" s="3" t="s">
        <v>72</v>
      </c>
      <c r="J8" s="24">
        <v>3.2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80</v>
      </c>
      <c r="D9" s="40" t="s">
        <v>76</v>
      </c>
      <c r="E9" s="40" t="s">
        <v>76</v>
      </c>
      <c r="F9" s="24">
        <v>28.5</v>
      </c>
      <c r="G9" s="3">
        <v>79</v>
      </c>
      <c r="H9" s="3" t="s">
        <v>38</v>
      </c>
      <c r="I9" s="3" t="s">
        <v>56</v>
      </c>
      <c r="J9" s="24">
        <v>4.7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80</v>
      </c>
      <c r="D10" s="40" t="s">
        <v>76</v>
      </c>
      <c r="E10" s="40" t="s">
        <v>76</v>
      </c>
      <c r="F10" s="24" t="s">
        <v>78</v>
      </c>
      <c r="G10" s="3">
        <v>81</v>
      </c>
      <c r="H10" s="3" t="s">
        <v>38</v>
      </c>
      <c r="I10" s="3" t="s">
        <v>72</v>
      </c>
      <c r="J10" s="24">
        <v>4.7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80</v>
      </c>
      <c r="D11" s="40" t="s">
        <v>76</v>
      </c>
      <c r="E11" s="40" t="s">
        <v>76</v>
      </c>
      <c r="F11" s="24">
        <v>27.6</v>
      </c>
      <c r="G11" s="3">
        <v>79</v>
      </c>
      <c r="H11" s="3" t="s">
        <v>38</v>
      </c>
      <c r="I11" s="3" t="s">
        <v>55</v>
      </c>
      <c r="J11" s="24">
        <v>4.7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80</v>
      </c>
      <c r="D12" s="40" t="s">
        <v>76</v>
      </c>
      <c r="E12" s="40" t="s">
        <v>76</v>
      </c>
      <c r="F12" s="24">
        <v>25.6</v>
      </c>
      <c r="G12" s="3">
        <v>82</v>
      </c>
      <c r="H12" s="3" t="s">
        <v>38</v>
      </c>
      <c r="I12" s="3" t="s">
        <v>58</v>
      </c>
      <c r="J12" s="24">
        <v>5.4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80</v>
      </c>
      <c r="D13" s="40" t="s">
        <v>76</v>
      </c>
      <c r="E13" s="40" t="s">
        <v>76</v>
      </c>
      <c r="F13" s="24">
        <v>28.1</v>
      </c>
      <c r="G13" s="3">
        <v>80</v>
      </c>
      <c r="H13" s="3" t="s">
        <v>38</v>
      </c>
      <c r="I13" s="3" t="s">
        <v>72</v>
      </c>
      <c r="J13" s="24">
        <v>7.2</v>
      </c>
      <c r="K13" s="24"/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80</v>
      </c>
      <c r="D14" s="40" t="s">
        <v>76</v>
      </c>
      <c r="E14" s="40" t="s">
        <v>76</v>
      </c>
      <c r="F14" s="24" t="s">
        <v>79</v>
      </c>
      <c r="G14" s="3">
        <v>79</v>
      </c>
      <c r="H14" s="3" t="s">
        <v>38</v>
      </c>
      <c r="I14" s="3" t="s">
        <v>56</v>
      </c>
      <c r="J14" s="24">
        <v>7.2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80</v>
      </c>
      <c r="D15" s="40" t="s">
        <v>76</v>
      </c>
      <c r="E15" s="40" t="s">
        <v>76</v>
      </c>
      <c r="F15" s="24">
        <v>29.2</v>
      </c>
      <c r="G15" s="3">
        <v>79</v>
      </c>
      <c r="H15" s="3" t="s">
        <v>38</v>
      </c>
      <c r="I15" s="3" t="s">
        <v>56</v>
      </c>
      <c r="J15" s="24">
        <v>7.8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80</v>
      </c>
      <c r="D16" s="40" t="s">
        <v>76</v>
      </c>
      <c r="E16" s="40" t="s">
        <v>76</v>
      </c>
      <c r="F16" s="24">
        <v>15.8</v>
      </c>
      <c r="G16" s="3">
        <v>87</v>
      </c>
      <c r="H16" s="3" t="s">
        <v>38</v>
      </c>
      <c r="I16" s="3" t="s">
        <v>61</v>
      </c>
      <c r="J16" s="24">
        <v>8.3000000000000007</v>
      </c>
      <c r="K16" s="24"/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80</v>
      </c>
      <c r="D17" s="40" t="s">
        <v>76</v>
      </c>
      <c r="E17" s="40" t="s">
        <v>77</v>
      </c>
      <c r="F17" s="24" t="s">
        <v>81</v>
      </c>
      <c r="G17" s="3">
        <v>91</v>
      </c>
      <c r="H17" s="3" t="s">
        <v>40</v>
      </c>
      <c r="I17" s="3" t="s">
        <v>70</v>
      </c>
      <c r="J17" s="24">
        <v>2.2000000000000002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80</v>
      </c>
      <c r="D18" s="40" t="s">
        <v>76</v>
      </c>
      <c r="E18" s="40" t="s">
        <v>76</v>
      </c>
      <c r="F18" s="24">
        <v>24.3</v>
      </c>
      <c r="G18" s="3">
        <v>85</v>
      </c>
      <c r="H18" s="3" t="s">
        <v>51</v>
      </c>
      <c r="I18" s="3" t="s">
        <v>72</v>
      </c>
      <c r="J18" s="24">
        <v>2.5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80</v>
      </c>
      <c r="D19" s="40" t="s">
        <v>76</v>
      </c>
      <c r="E19" s="40" t="s">
        <v>76</v>
      </c>
      <c r="F19" s="24">
        <v>27.9</v>
      </c>
      <c r="G19" s="3">
        <v>79</v>
      </c>
      <c r="H19" s="3" t="s">
        <v>36</v>
      </c>
      <c r="I19" s="3" t="s">
        <v>73</v>
      </c>
      <c r="J19" s="24">
        <v>3.2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80</v>
      </c>
      <c r="D20" s="40" t="s">
        <v>76</v>
      </c>
      <c r="E20" s="40" t="s">
        <v>76</v>
      </c>
      <c r="F20" s="24">
        <v>28.9</v>
      </c>
      <c r="G20" s="3">
        <v>79</v>
      </c>
      <c r="H20" s="3" t="s">
        <v>36</v>
      </c>
      <c r="I20" s="3" t="s">
        <v>55</v>
      </c>
      <c r="J20" s="24">
        <v>14.8</v>
      </c>
      <c r="K20" s="24"/>
      <c r="M20" s="3"/>
    </row>
    <row r="21" spans="1:15" x14ac:dyDescent="0.25">
      <c r="A21" s="1">
        <v>43497</v>
      </c>
      <c r="B21" s="2" t="s">
        <v>25</v>
      </c>
      <c r="C21" s="26" t="s">
        <v>80</v>
      </c>
      <c r="D21" s="40" t="s">
        <v>76</v>
      </c>
      <c r="E21" s="40" t="s">
        <v>76</v>
      </c>
      <c r="F21" s="24">
        <v>27.5</v>
      </c>
      <c r="G21" s="3">
        <v>87</v>
      </c>
      <c r="H21" s="3" t="s">
        <v>38</v>
      </c>
      <c r="I21" s="3" t="s">
        <v>55</v>
      </c>
      <c r="J21" s="24">
        <v>15.1</v>
      </c>
      <c r="K21" s="24"/>
      <c r="M21" s="3"/>
    </row>
    <row r="22" spans="1:15" x14ac:dyDescent="0.25">
      <c r="A22" s="1">
        <v>43475</v>
      </c>
      <c r="B22" s="2" t="s">
        <v>26</v>
      </c>
      <c r="C22" s="26" t="s">
        <v>80</v>
      </c>
      <c r="D22" s="40" t="s">
        <v>76</v>
      </c>
      <c r="E22" s="40" t="s">
        <v>76</v>
      </c>
      <c r="F22" s="24">
        <v>28.5</v>
      </c>
      <c r="G22" s="3">
        <v>79</v>
      </c>
      <c r="H22" s="3" t="s">
        <v>38</v>
      </c>
      <c r="I22" s="3" t="s">
        <v>56</v>
      </c>
      <c r="J22" s="24">
        <v>8.6</v>
      </c>
      <c r="K22" s="24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6" t="s">
        <v>80</v>
      </c>
      <c r="D23" s="40" t="s">
        <v>76</v>
      </c>
      <c r="E23" s="40" t="s">
        <v>76</v>
      </c>
      <c r="F23" s="24">
        <v>27.5</v>
      </c>
      <c r="G23" s="3">
        <v>83</v>
      </c>
      <c r="H23" s="3" t="s">
        <v>38</v>
      </c>
      <c r="I23" s="3" t="s">
        <v>55</v>
      </c>
      <c r="J23" s="24" t="s">
        <v>85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80</v>
      </c>
      <c r="D24" s="40" t="s">
        <v>76</v>
      </c>
      <c r="E24" s="40" t="s">
        <v>76</v>
      </c>
      <c r="F24" s="24" t="s">
        <v>82</v>
      </c>
      <c r="G24" s="3">
        <v>74</v>
      </c>
      <c r="H24" s="3" t="s">
        <v>38</v>
      </c>
      <c r="I24" s="3" t="s">
        <v>66</v>
      </c>
      <c r="J24" s="24" t="s">
        <v>76</v>
      </c>
      <c r="K24" s="24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6" t="s">
        <v>80</v>
      </c>
      <c r="D25" s="40" t="s">
        <v>76</v>
      </c>
      <c r="E25" s="40" t="s">
        <v>76</v>
      </c>
      <c r="F25" s="24">
        <v>30.1</v>
      </c>
      <c r="G25" s="3">
        <v>68</v>
      </c>
      <c r="H25" s="3" t="s">
        <v>38</v>
      </c>
      <c r="I25" s="3" t="s">
        <v>66</v>
      </c>
      <c r="J25" s="24" t="s">
        <v>76</v>
      </c>
      <c r="K25" s="24"/>
      <c r="N25" s="24"/>
      <c r="O25" s="24"/>
    </row>
    <row r="26" spans="1:15" ht="15" customHeight="1" x14ac:dyDescent="0.25">
      <c r="J26" s="39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8" sqref="E28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196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330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NW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206</v>
      </c>
      <c r="D4" s="25">
        <v>13</v>
      </c>
      <c r="E4" s="3" t="str">
        <f t="shared" si="1"/>
        <v>fairnight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13</v>
      </c>
      <c r="E5" s="3" t="str">
        <f t="shared" si="1"/>
        <v>fairnight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16</v>
      </c>
      <c r="E6" s="3" t="str">
        <f t="shared" si="1"/>
        <v>partlycloudynight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236</v>
      </c>
      <c r="D7" s="25">
        <v>13</v>
      </c>
      <c r="E7" s="3" t="str">
        <f t="shared" si="1"/>
        <v>fairnight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180</v>
      </c>
      <c r="D8" s="25">
        <v>13</v>
      </c>
      <c r="E8" s="3" t="str">
        <f t="shared" si="1"/>
        <v>fairnight</v>
      </c>
      <c r="F8" s="3" t="str">
        <f>Sheet4!L7</f>
        <v>S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200</v>
      </c>
      <c r="D9" s="25">
        <v>13</v>
      </c>
      <c r="E9" s="3" t="str">
        <f t="shared" si="1"/>
        <v>fairnight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180</v>
      </c>
      <c r="D10" s="25">
        <v>13</v>
      </c>
      <c r="E10" s="3" t="str">
        <f t="shared" si="1"/>
        <v>fairnight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290</v>
      </c>
      <c r="D12" s="25">
        <v>13</v>
      </c>
      <c r="E12" s="3" t="str">
        <f t="shared" si="1"/>
        <v>fairnight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180</v>
      </c>
      <c r="D13" s="25">
        <v>13</v>
      </c>
      <c r="E13" s="3" t="str">
        <f t="shared" si="1"/>
        <v>fairnight</v>
      </c>
      <c r="F13" s="3" t="str">
        <f>Sheet4!L12</f>
        <v>S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206</v>
      </c>
      <c r="D14" s="25">
        <v>13</v>
      </c>
      <c r="E14" s="3" t="str">
        <f t="shared" si="1"/>
        <v>fairnight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13</v>
      </c>
      <c r="E15" s="3" t="str">
        <f t="shared" si="1"/>
        <v>fairnight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279</v>
      </c>
      <c r="D16" s="25">
        <v>13</v>
      </c>
      <c r="E16" s="3" t="str">
        <f t="shared" si="1"/>
        <v>fairnight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108</v>
      </c>
      <c r="D17" s="25">
        <v>19</v>
      </c>
      <c r="E17" s="3" t="str">
        <f t="shared" si="1"/>
        <v>hazenight</v>
      </c>
      <c r="F17" s="3" t="str">
        <f>Sheet4!L16</f>
        <v>ESE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187</v>
      </c>
      <c r="D18" s="25">
        <v>18</v>
      </c>
      <c r="E18" s="3" t="str">
        <f t="shared" si="1"/>
        <v>thunderstormsnight</v>
      </c>
      <c r="F18" s="3" t="str">
        <f>Sheet4!L17</f>
        <v>S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</v>
      </c>
      <c r="D19" s="25">
        <v>16</v>
      </c>
      <c r="E19" s="3" t="str">
        <f t="shared" si="1"/>
        <v>partlycloudynight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16</v>
      </c>
      <c r="E20" s="3" t="str">
        <f t="shared" si="1"/>
        <v>partlycloudynight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221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203</v>
      </c>
      <c r="D22" s="25">
        <v>13</v>
      </c>
      <c r="E22" s="3" t="str">
        <f t="shared" si="1"/>
        <v>fairnight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13</v>
      </c>
      <c r="E23" s="3" t="str">
        <f t="shared" si="1"/>
        <v>fairnight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0</v>
      </c>
      <c r="D25" s="25">
        <v>13</v>
      </c>
      <c r="E25" s="3" t="str">
        <f t="shared" si="1"/>
        <v>fairnight</v>
      </c>
      <c r="F25" s="3" t="str">
        <f>Sheet4!L24</f>
        <v>CALM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330</v>
      </c>
      <c r="L2" t="str">
        <f t="shared" ref="L2:L24" si="0">VLOOKUP(K2,A$2:B$363,2,FALSE)</f>
        <v>NW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206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236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180</v>
      </c>
      <c r="L7" t="str">
        <f t="shared" si="0"/>
        <v>S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200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180</v>
      </c>
      <c r="L12" t="str">
        <f t="shared" si="0"/>
        <v>S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206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279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108</v>
      </c>
      <c r="L16" t="str">
        <f t="shared" si="0"/>
        <v>ESE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187</v>
      </c>
      <c r="L17" t="str">
        <f t="shared" si="0"/>
        <v>S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221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203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2026-07-23T15:31:27Z</dcterms:modified>
</cp:coreProperties>
</file>