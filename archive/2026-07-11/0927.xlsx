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1A4CD1B1-CE97-426E-A239-3EC06561E0E9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Sheet1!$A$6:$M$6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<sst xmlns="http://schemas.openxmlformats.org/spreadsheetml/2006/main" count="598" uniqueCount="79">
  <si>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</si>
  <si>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</si>
  <si>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</si>
  <si>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</si>
  <si>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</si>
  <si>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</si>
  <si>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</si>
  <si>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</si>
  <si>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</si>
  <si>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</si>
  <si>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</si>
  <si>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</si>
  <si>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</si>
  <si>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</si>
  <si>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</si>
  <si>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</si>
  <si>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</si>
  <si>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</si>
  <si>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</si>
  <si>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</si>
  <si>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</si>
  <si>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</si>
  <si>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</si>
  <si>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</si>
  <si>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</si>
  <si>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</si>
  <si>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</si>
  <si>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</si>
  <si>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</si>
  <si>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</si>
  <si>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</si>
  <si>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</si>
  <si>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</si>
  <si>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</si>
  <si>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</si>
  <si>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</si>
  <si>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</si>
  <si>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</si>
  <si>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</si>
  <si>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</si>
  <si>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</si>
  <si>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</si>
  <si>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</si>
  <si>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</si>
  <si>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</si>
  <si>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</si>
  <si>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</si>
  <si>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</si>
  <si>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</si>
  <si>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</si>
  <si>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</si>
  <si>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</si>
  <si>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</si>
  <si>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</si>
  <si>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</si>
  <si>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</si>
  <si>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</si>
  <si>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</si>
  <si>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</si>
  <si>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</si>
  <si>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</si>
  <si>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</si>
  <si>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</si>
  <si>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</si>
  <si>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</si>
  <si>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</si>
  <si>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</si>
  <si>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</si>
  <si>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</si>
  <si>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</si>
  <si>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</si>
  <si>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</si>
  <si>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</si>
  <si>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</si>
  <si>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</si>
  <si>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</si>
  <si>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</si>
  <si>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Calm</t>
  </si>
  <si>
    <t>2026-07-11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</si>
</sst>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zoomScaleNormal="100" workbookViewId="0">
      <selection activeCell="J30" sqref="J30:J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78</v>
      </c>
      <c r="D2" s="39">
        <v>0</v>
      </c>
      <c r="E2" s="39">
        <v>0</v>
      </c>
      <c r="F2" s="39">
        <v>32.4</v>
      </c>
      <c r="G2" s="24">
        <v>67</v>
      </c>
      <c r="H2" s="24" t="s">
        <v>32</v>
      </c>
      <c r="I2" s="24" t="s">
        <v>55</v>
      </c>
      <c r="J2" s="39">
        <v>11.88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78</v>
      </c>
      <c r="D3" s="39">
        <v>0</v>
      </c>
      <c r="E3" s="39">
        <v>0</v>
      </c>
      <c r="F3" s="39">
        <v>35.5</v>
      </c>
      <c r="G3" s="24">
        <v>55</v>
      </c>
      <c r="H3" s="24" t="s">
        <v>32</v>
      </c>
      <c r="I3" s="24" t="s">
        <v>55</v>
      </c>
      <c r="J3" s="39">
        <v>6</v>
      </c>
      <c r="K3" s="24"/>
    </row>
    <row r="4" spans="1:15" x14ac:dyDescent="0.25">
      <c r="A4" s="1">
        <v>43413</v>
      </c>
      <c r="B4" s="2" t="s">
        <v>9</v>
      </c>
      <c r="C4" s="26" t="s">
        <v>78</v>
      </c>
      <c r="D4" s="39">
        <v>0</v>
      </c>
      <c r="E4" s="39">
        <v>0</v>
      </c>
      <c r="F4" s="39">
        <v>30.5</v>
      </c>
      <c r="G4" s="24">
        <v>80</v>
      </c>
      <c r="H4" s="24" t="s">
        <v>32</v>
      </c>
      <c r="I4" s="24" t="s">
        <v>56</v>
      </c>
      <c r="J4" s="39">
        <v>19.8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78</v>
      </c>
      <c r="D5" s="39">
        <v>0</v>
      </c>
      <c r="E5" s="39">
        <v>0</v>
      </c>
      <c r="F5" s="39">
        <v>34.4</v>
      </c>
      <c r="G5" s="24">
        <v>56</v>
      </c>
      <c r="H5" s="24" t="s">
        <v>34</v>
      </c>
      <c r="I5" s="24" t="s">
        <v>61</v>
      </c>
      <c r="J5" s="39">
        <v>8.1999999999999993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78</v>
      </c>
      <c r="D6" s="39">
        <v>0</v>
      </c>
      <c r="E6" s="39">
        <v>0</v>
      </c>
      <c r="F6" s="39">
        <v>34.200000000000003</v>
      </c>
      <c r="G6" s="24">
        <v>54</v>
      </c>
      <c r="H6" s="24" t="s">
        <v>32</v>
      </c>
      <c r="I6" s="24" t="s">
        <v>55</v>
      </c>
      <c r="J6" s="39">
        <v>6.8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78</v>
      </c>
      <c r="D7" s="39">
        <v>0</v>
      </c>
      <c r="E7" s="39">
        <v>0</v>
      </c>
      <c r="F7" s="39">
        <v>32.6</v>
      </c>
      <c r="G7" s="24">
        <v>63</v>
      </c>
      <c r="H7" s="24" t="s">
        <v>35</v>
      </c>
      <c r="I7" s="24" t="s">
        <v>61</v>
      </c>
      <c r="J7" s="39">
        <v>11.88</v>
      </c>
      <c r="K7" s="24"/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78</v>
      </c>
      <c r="D8" s="39">
        <v>0</v>
      </c>
      <c r="E8" s="39">
        <v>0</v>
      </c>
      <c r="F8" s="39">
        <v>31.2</v>
      </c>
      <c r="G8" s="24">
        <v>67</v>
      </c>
      <c r="H8" s="24" t="s">
        <v>34</v>
      </c>
      <c r="I8" s="24" t="s">
        <v>61</v>
      </c>
      <c r="J8" s="39">
        <v>9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78</v>
      </c>
      <c r="D9" s="39">
        <v>0</v>
      </c>
      <c r="E9" s="39">
        <v>0</v>
      </c>
      <c r="F9" s="39">
        <v>31</v>
      </c>
      <c r="G9" s="24">
        <v>74</v>
      </c>
      <c r="H9" s="24" t="s">
        <v>35</v>
      </c>
      <c r="I9" s="24" t="s">
        <v>57</v>
      </c>
      <c r="J9" s="39">
        <v>7.9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78</v>
      </c>
      <c r="D10" s="39">
        <v>0</v>
      </c>
      <c r="E10" s="39">
        <v>0</v>
      </c>
      <c r="F10" s="39">
        <v>34</v>
      </c>
      <c r="G10" s="24">
        <v>60</v>
      </c>
      <c r="H10" s="24" t="s">
        <v>32</v>
      </c>
      <c r="I10" s="24" t="s">
        <v>77</v>
      </c>
      <c r="J10" s="39" t="s">
        <v>77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78</v>
      </c>
      <c r="D11" s="39">
        <v>0</v>
      </c>
      <c r="E11" s="39">
        <v>0</v>
      </c>
      <c r="F11" s="39">
        <v>30.6</v>
      </c>
      <c r="G11" s="24">
        <v>73</v>
      </c>
      <c r="H11" s="24" t="s">
        <v>35</v>
      </c>
      <c r="I11" s="24" t="s">
        <v>57</v>
      </c>
      <c r="J11" s="39">
        <v>4.7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78</v>
      </c>
      <c r="D12" s="39">
        <v>0</v>
      </c>
      <c r="E12" s="39">
        <v>0</v>
      </c>
      <c r="F12" s="39">
        <v>27.6</v>
      </c>
      <c r="G12" s="24">
        <v>78</v>
      </c>
      <c r="H12" s="24" t="s">
        <v>35</v>
      </c>
      <c r="I12" s="24" t="s">
        <v>61</v>
      </c>
      <c r="J12" s="39">
        <v>13.3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78</v>
      </c>
      <c r="D13" s="39">
        <v>0.7</v>
      </c>
      <c r="E13" s="39">
        <v>0.7</v>
      </c>
      <c r="F13" s="39">
        <v>30.4</v>
      </c>
      <c r="G13" s="24">
        <v>76</v>
      </c>
      <c r="H13" s="24" t="s">
        <v>34</v>
      </c>
      <c r="I13" s="24" t="s">
        <v>55</v>
      </c>
      <c r="J13" s="39">
        <v>19.079999999999998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78</v>
      </c>
      <c r="D14" s="39">
        <v>0</v>
      </c>
      <c r="E14" s="39">
        <v>0</v>
      </c>
      <c r="F14" s="39">
        <v>31.1</v>
      </c>
      <c r="G14" s="24">
        <v>76</v>
      </c>
      <c r="H14" s="24" t="s">
        <v>34</v>
      </c>
      <c r="I14" s="24" t="s">
        <v>61</v>
      </c>
      <c r="J14" s="39">
        <v>6.12</v>
      </c>
      <c r="K14" s="24"/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78</v>
      </c>
      <c r="D15" s="39">
        <v>0</v>
      </c>
      <c r="E15" s="39">
        <v>0</v>
      </c>
      <c r="F15" s="39">
        <v>31.1</v>
      </c>
      <c r="G15" s="24">
        <v>72</v>
      </c>
      <c r="H15" s="24" t="s">
        <v>32</v>
      </c>
      <c r="I15" s="24" t="s">
        <v>61</v>
      </c>
      <c r="J15" s="39">
        <v>11.2</v>
      </c>
      <c r="K15" s="24"/>
      <c r="M15" s="3"/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6" t="s">
        <v>78</v>
      </c>
      <c r="D16" s="39" t="s">
        <v>76</v>
      </c>
      <c r="E16" s="39" t="s">
        <v>76</v>
      </c>
      <c r="F16" s="39">
        <v>18.5</v>
      </c>
      <c r="G16" s="24">
        <v>88</v>
      </c>
      <c r="H16" s="24" t="s">
        <v>37</v>
      </c>
      <c r="I16" s="24" t="s">
        <v>59</v>
      </c>
      <c r="J16" s="39">
        <v>17.28</v>
      </c>
      <c r="K16" s="24"/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78</v>
      </c>
      <c r="D17" s="39">
        <v>0</v>
      </c>
      <c r="E17" s="39">
        <v>0</v>
      </c>
      <c r="F17" s="39">
        <v>28</v>
      </c>
      <c r="G17" s="24">
        <v>61</v>
      </c>
      <c r="H17" s="24" t="s">
        <v>32</v>
      </c>
      <c r="I17" s="24" t="s">
        <v>58</v>
      </c>
      <c r="J17" s="39">
        <v>11.8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78</v>
      </c>
      <c r="D18" s="39">
        <v>0</v>
      </c>
      <c r="E18" s="39">
        <v>0</v>
      </c>
      <c r="F18" s="39">
        <v>30.6</v>
      </c>
      <c r="G18" s="24">
        <v>57</v>
      </c>
      <c r="H18" s="24" t="s">
        <v>32</v>
      </c>
      <c r="I18" s="24" t="s">
        <v>69</v>
      </c>
      <c r="J18" s="39">
        <v>5.4</v>
      </c>
      <c r="K18" s="24"/>
    </row>
    <row r="19" spans="1:15" ht="14.25" customHeight="1" x14ac:dyDescent="0.25">
      <c r="A19" s="1">
        <v>43486</v>
      </c>
      <c r="B19" s="2" t="s">
        <v>23</v>
      </c>
      <c r="C19" s="26" t="s">
        <v>78</v>
      </c>
      <c r="D19" s="39" t="s">
        <v>76</v>
      </c>
      <c r="E19" s="39" t="s">
        <v>76</v>
      </c>
      <c r="F19" s="39">
        <v>31.3</v>
      </c>
      <c r="G19" s="24">
        <v>73</v>
      </c>
      <c r="H19" s="24" t="s">
        <v>34</v>
      </c>
      <c r="I19" s="24" t="s">
        <v>59</v>
      </c>
      <c r="J19" s="39">
        <v>8.2799999999999994</v>
      </c>
      <c r="K19" s="24"/>
      <c r="M19" s="3"/>
    </row>
    <row r="20" spans="1:15" x14ac:dyDescent="0.25">
      <c r="A20" s="1">
        <v>43495</v>
      </c>
      <c r="B20" s="2" t="s">
        <v>24</v>
      </c>
      <c r="C20" s="26" t="s">
        <v>78</v>
      </c>
      <c r="D20" s="39">
        <v>0</v>
      </c>
      <c r="E20" s="39">
        <v>0</v>
      </c>
      <c r="F20" s="39">
        <v>29.5</v>
      </c>
      <c r="G20" s="24">
        <v>85</v>
      </c>
      <c r="H20" s="24" t="s">
        <v>34</v>
      </c>
      <c r="I20" s="24" t="s">
        <v>57</v>
      </c>
      <c r="J20" s="39">
        <v>10.1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78</v>
      </c>
      <c r="D21" s="39">
        <v>0</v>
      </c>
      <c r="E21" s="39">
        <v>0</v>
      </c>
      <c r="F21" s="39">
        <v>30.2</v>
      </c>
      <c r="G21" s="24">
        <v>79</v>
      </c>
      <c r="H21" s="24" t="s">
        <v>32</v>
      </c>
      <c r="I21" s="24" t="s">
        <v>55</v>
      </c>
      <c r="J21" s="39">
        <v>19.079999999999998</v>
      </c>
      <c r="K21" s="24"/>
      <c r="M21" s="3"/>
    </row>
    <row r="22" spans="1:15" ht="16.5" customHeight="1" x14ac:dyDescent="0.25">
      <c r="A22" s="1">
        <v>43475</v>
      </c>
      <c r="B22" s="2" t="s">
        <v>26</v>
      </c>
      <c r="C22" s="26" t="s">
        <v>78</v>
      </c>
      <c r="D22" s="39">
        <v>0</v>
      </c>
      <c r="E22" s="39">
        <v>0</v>
      </c>
      <c r="F22" s="39">
        <v>34.6</v>
      </c>
      <c r="G22" s="24">
        <v>64</v>
      </c>
      <c r="H22" s="24" t="s">
        <v>32</v>
      </c>
      <c r="I22" s="24" t="s">
        <v>70</v>
      </c>
      <c r="J22" s="39">
        <v>8.64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78</v>
      </c>
      <c r="D23" s="39">
        <v>0</v>
      </c>
      <c r="E23" s="39">
        <v>0</v>
      </c>
      <c r="F23" s="39">
        <v>34.4</v>
      </c>
      <c r="G23" s="24">
        <v>49</v>
      </c>
      <c r="H23" s="24" t="s">
        <v>32</v>
      </c>
      <c r="I23" s="24" t="s">
        <v>57</v>
      </c>
      <c r="J23" s="39">
        <v>22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78</v>
      </c>
      <c r="D24" s="39">
        <v>0</v>
      </c>
      <c r="E24" s="39">
        <v>0</v>
      </c>
      <c r="F24" s="39">
        <v>33.299999999999997</v>
      </c>
      <c r="G24" s="24">
        <v>51</v>
      </c>
      <c r="H24" s="24" t="s">
        <v>32</v>
      </c>
      <c r="I24" s="24" t="s">
        <v>61</v>
      </c>
      <c r="J24" s="39">
        <v>1.4</v>
      </c>
      <c r="K24" s="24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6" t="s">
        <v>78</v>
      </c>
      <c r="D25" s="39">
        <v>0</v>
      </c>
      <c r="E25" s="39">
        <v>0</v>
      </c>
      <c r="F25" s="39">
        <v>34.6</v>
      </c>
      <c r="G25" s="24">
        <v>51</v>
      </c>
      <c r="H25" s="24" t="s">
        <v>32</v>
      </c>
      <c r="I25" s="24" t="s">
        <v>61</v>
      </c>
      <c r="J25" s="39">
        <v>17.600000000000001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4 H14:H15 H5:I13 M5:M12 H1:I3 M1:M3 H16:I25 M14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I14:I17 I1:I4 I20:I25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206</v>
      </c>
      <c r="D2" s="25">
        <v>1</v>
      </c>
      <c r="E2" s="3" t="str">
        <f>VLOOKUP(D2,$G$1:$H$19,2,FALSE)</f>
        <v>rain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130</v>
      </c>
      <c r="D3" s="25">
        <v>1</v>
      </c>
      <c r="E3" s="3" t="str">
        <f t="shared" ref="E3:E25" si="1">VLOOKUP(D3,$G$1:$H$19,2,FALSE)</f>
        <v>rain</v>
      </c>
      <c r="F3" s="3" t="str">
        <f>Sheet4!L2</f>
        <v>SE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1</v>
      </c>
      <c r="E5" s="3" t="str">
        <f t="shared" si="1"/>
        <v>rain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227</v>
      </c>
      <c r="D7" s="25">
        <v>6</v>
      </c>
      <c r="E7" s="3" t="str">
        <f t="shared" si="1"/>
        <v>partlycloudy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230</v>
      </c>
      <c r="D10" s="25">
        <v>2</v>
      </c>
      <c r="E10" s="3" t="str">
        <f t="shared" si="1"/>
        <v>fairday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180</v>
      </c>
      <c r="D11" s="25">
        <v>11</v>
      </c>
      <c r="E11" s="3" t="str">
        <f t="shared" si="1"/>
        <v>showers</v>
      </c>
      <c r="F11" s="3" t="str">
        <f>Sheet4!L10</f>
        <v>S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200</v>
      </c>
      <c r="D13" s="25">
        <v>5</v>
      </c>
      <c r="E13" s="3" t="str">
        <f t="shared" si="1"/>
        <v>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242</v>
      </c>
      <c r="D14" s="25">
        <v>5</v>
      </c>
      <c r="E14" s="3" t="str">
        <f t="shared" si="1"/>
        <v>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296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239</v>
      </c>
      <c r="D17" s="25">
        <v>6</v>
      </c>
      <c r="E17" s="3" t="str">
        <f t="shared" si="1"/>
        <v>partlycloudy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360</v>
      </c>
      <c r="D18" s="25">
        <v>6</v>
      </c>
      <c r="E18" s="3" t="str">
        <f t="shared" si="1"/>
        <v>partlycloudy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353</v>
      </c>
      <c r="D19" s="25">
        <v>2</v>
      </c>
      <c r="E19" s="3" t="str">
        <f t="shared" si="1"/>
        <v>fairday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12</v>
      </c>
      <c r="D20" s="25">
        <v>11</v>
      </c>
      <c r="E20" s="3" t="str">
        <f t="shared" si="1"/>
        <v>showers</v>
      </c>
      <c r="F20" s="3" t="str">
        <f>Sheet4!L19</f>
        <v>NNE</v>
      </c>
    </row>
    <row r="21" spans="1:14" x14ac:dyDescent="0.25">
      <c r="A21" s="36">
        <v>43497</v>
      </c>
      <c r="B21" s="38" t="s">
        <v>25</v>
      </c>
      <c r="C21" s="33">
        <v>301</v>
      </c>
      <c r="D21" s="25">
        <v>11</v>
      </c>
      <c r="E21" s="3" t="str">
        <f t="shared" si="1"/>
        <v>showers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225</v>
      </c>
      <c r="D22" s="25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250</v>
      </c>
      <c r="D24" s="25">
        <v>2</v>
      </c>
      <c r="E24" s="3" t="str">
        <f t="shared" si="1"/>
        <v>fairday</v>
      </c>
      <c r="F24" s="3" t="str">
        <f>Sheet4!L23</f>
        <v>WSW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2</v>
      </c>
      <c r="E25" s="3" t="str">
        <f t="shared" si="1"/>
        <v>fairday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206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130</v>
      </c>
      <c r="L2" t="str">
        <f t="shared" ref="L2:L24" si="0">VLOOKUP(K2,A$2:B$363,2,FALSE)</f>
        <v>SE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227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242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296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239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360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353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12</v>
      </c>
      <c r="L19" t="str">
        <f t="shared" si="0"/>
        <v>NNE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301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225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250</v>
      </c>
      <c r="L23" t="str">
        <f t="shared" si="0"/>
        <v>WSW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2026-07-11T06:46:21Z</dcterms:modified>
</cp:coreProperties>
</file>