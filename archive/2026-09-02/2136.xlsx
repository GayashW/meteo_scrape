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C81AE29-77D3-49E8-8FB4-B17CC635A5B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<sst xmlns="http://schemas.openxmlformats.org/spreadsheetml/2006/main" count="672" uniqueCount="105">
  <si>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</si>
  <si>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</si>
  <si>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</si>
  <si>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</si>
  <si>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</si>
  <si>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</si>
  <si>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</si>
  <si>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</si>
  <si>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</si>
  <si>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</si>
  <si>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</si>
  <si>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</si>
  <si>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</si>
  <si>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</si>
  <si>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</si>
  <si>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</si>
  <si>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</si>
  <si>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</si>
  <si>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</si>
  <si>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</si>
  <si>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</si>
  <si>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</si>
  <si>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</si>
  <si>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</si>
  <si>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</si>
  <si>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</si>
  <si>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</si>
  <si>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</si>
  <si>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</si>
  <si>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</si>
  <si>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</si>
  <si>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</si>
  <si>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</si>
  <si>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</si>
  <si>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</si>
  <si>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</si>
  <si>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</si>
  <si>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</si>
  <si>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</si>
  <si>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</si>
  <si>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</si>
  <si>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</si>
  <si>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</si>
  <si>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</si>
  <si>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</si>
  <si>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</si>
  <si>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</si>
  <si>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</si>
  <si>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</si>
  <si>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</si>
  <si>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</si>
  <si>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</si>
  <si>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</si>
  <si>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</si>
  <si>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</si>
  <si>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</si>
  <si>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</si>
  <si>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</si>
  <si>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</si>
  <si>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</si>
  <si>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</si>
  <si>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</si>
  <si>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</si>
  <si>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</si>
  <si>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</si>
  <si>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</si>
  <si>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</si>
  <si>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</si>
  <si>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</si>
  <si>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</si>
  <si>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</si>
  <si>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</si>
  <si>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</si>
  <si>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</si>
  <si>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</si>
  <si>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</si>
  <si>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</si>
  <si>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</si>
  <si>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</si>
  <si>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</si>
  <si>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</si>
  <si>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2026-09-02 2030</t>
  </si>
  <si>
    <t>30.0</t>
  </si>
  <si>
    <t>16.2</t>
  </si>
  <si>
    <t>6.0</t>
  </si>
  <si>
    <t>4.4</t>
  </si>
  <si>
    <t>6.5</t>
  </si>
  <si>
    <t>6.1</t>
  </si>
  <si>
    <t>7.2</t>
  </si>
  <si>
    <t>10.8</t>
  </si>
  <si>
    <t>3.2</t>
  </si>
  <si>
    <t>11.5</t>
  </si>
  <si>
    <t>9.0</t>
  </si>
  <si>
    <t>5.6</t>
  </si>
  <si>
    <t>2.9</t>
  </si>
  <si>
    <t>2026-09-02 2330</t>
  </si>
  <si>
    <t>0.4</t>
  </si>
  <si>
    <t>28.0</t>
  </si>
  <si>
    <t>31.0</t>
  </si>
  <si>
    <t>7.9</t>
  </si>
  <si>
    <t>10.4</t>
  </si>
  <si>
    <t>9.7</t>
  </si>
  <si>
    <t>22.7</t>
  </si>
  <si>
    <t>17.0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</si>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</sst>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1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5" applyNumberFormat="0" applyAlignment="0" applyProtection="0"/>
    <xf numFmtId="0" fontId="14" fillId="25" borderId="6" applyNumberFormat="0" applyAlignment="0" applyProtection="0"/>
    <xf numFmtId="0" fontId="15" fillId="25" borderId="5" applyNumberFormat="0" applyAlignment="0" applyProtection="0"/>
    <xf numFmtId="0" fontId="16" fillId="0" borderId="7" applyNumberFormat="0" applyFill="0" applyAlignment="0" applyProtection="0"/>
    <xf numFmtId="0" fontId="17" fillId="26" borderId="8" applyNumberFormat="0" applyAlignment="0" applyProtection="0"/>
    <xf numFmtId="0" fontId="18" fillId="0" borderId="0" applyNumberFormat="0" applyFill="0" applyBorder="0" applyAlignment="0" applyProtection="0"/>
    <xf numFmtId="0" fontId="5" fillId="27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0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20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20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20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0" borderId="0" xfId="0" applyFill="1"/>
    <xf numFmtId="0" fontId="0" fillId="20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6" t="s">
        <v>95</v>
      </c>
      <c r="D2" s="36" t="s">
        <v>79</v>
      </c>
      <c r="E2" s="36" t="s">
        <v>79</v>
      </c>
      <c r="F2" s="24">
        <v>27.9</v>
      </c>
      <c r="G2" s="3">
        <v>85</v>
      </c>
      <c r="H2" s="3" t="s">
        <v>38</v>
      </c>
      <c r="I2" s="37" t="s">
        <v>56</v>
      </c>
      <c r="J2" s="24" t="s">
        <v>98</v>
      </c>
      <c r="K2" s="3">
        <v>1</v>
      </c>
      <c r="L2" s="24">
        <v>1011.2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95</v>
      </c>
      <c r="D3" s="36" t="s">
        <v>79</v>
      </c>
      <c r="E3" s="36" t="s">
        <v>79</v>
      </c>
      <c r="F3" s="24">
        <v>27.4</v>
      </c>
      <c r="G3" s="3">
        <v>81</v>
      </c>
      <c r="H3" s="3" t="s">
        <v>38</v>
      </c>
      <c r="I3" s="37" t="s">
        <v>61</v>
      </c>
      <c r="J3" s="24" t="s">
        <v>90</v>
      </c>
      <c r="K3" s="3">
        <v>0</v>
      </c>
      <c r="L3" s="24">
        <v>1011.3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95</v>
      </c>
      <c r="D4" s="36" t="s">
        <v>79</v>
      </c>
      <c r="E4" s="36" t="s">
        <v>79</v>
      </c>
      <c r="F4" s="24">
        <v>27.3</v>
      </c>
      <c r="G4" s="3">
        <v>85</v>
      </c>
      <c r="H4" s="3" t="s">
        <v>38</v>
      </c>
      <c r="I4" s="37" t="s">
        <v>57</v>
      </c>
      <c r="J4" s="24" t="s">
        <v>99</v>
      </c>
      <c r="K4" s="3">
        <v>2</v>
      </c>
      <c r="L4" s="24">
        <v>1012.1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95</v>
      </c>
      <c r="D5" s="36" t="s">
        <v>79</v>
      </c>
      <c r="E5" s="36" t="s">
        <v>79</v>
      </c>
      <c r="F5" s="24">
        <v>28.3</v>
      </c>
      <c r="G5" s="3">
        <v>83</v>
      </c>
      <c r="H5" s="3" t="s">
        <v>36</v>
      </c>
      <c r="I5" s="37" t="s">
        <v>55</v>
      </c>
      <c r="J5" s="24" t="s">
        <v>87</v>
      </c>
      <c r="K5" s="3">
        <v>4</v>
      </c>
      <c r="L5" s="24">
        <v>1012.5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95</v>
      </c>
      <c r="D6" s="36" t="s">
        <v>79</v>
      </c>
      <c r="E6" s="36" t="s">
        <v>79</v>
      </c>
      <c r="F6" s="24">
        <v>29.5</v>
      </c>
      <c r="G6" s="3">
        <v>81</v>
      </c>
      <c r="H6" s="3" t="s">
        <v>38</v>
      </c>
      <c r="I6" s="37" t="s">
        <v>66</v>
      </c>
      <c r="J6" s="24" t="s">
        <v>79</v>
      </c>
      <c r="K6" s="3">
        <v>0</v>
      </c>
      <c r="L6" s="24">
        <v>1010.5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95</v>
      </c>
      <c r="D7" s="36" t="s">
        <v>79</v>
      </c>
      <c r="E7" s="36" t="s">
        <v>79</v>
      </c>
      <c r="F7" s="24">
        <v>26.1</v>
      </c>
      <c r="G7" s="3">
        <v>89</v>
      </c>
      <c r="H7" s="3" t="s">
        <v>38</v>
      </c>
      <c r="I7" s="37" t="s">
        <v>72</v>
      </c>
      <c r="J7" s="24" t="s">
        <v>87</v>
      </c>
      <c r="K7" s="3">
        <v>3</v>
      </c>
      <c r="L7" s="24">
        <v>1012.7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95</v>
      </c>
      <c r="D8" s="36" t="s">
        <v>79</v>
      </c>
      <c r="E8" s="36" t="s">
        <v>79</v>
      </c>
      <c r="F8" s="24">
        <v>23.2</v>
      </c>
      <c r="G8" s="3">
        <v>93</v>
      </c>
      <c r="H8" s="3" t="s">
        <v>38</v>
      </c>
      <c r="I8" s="37" t="s">
        <v>55</v>
      </c>
      <c r="J8" s="24" t="s">
        <v>85</v>
      </c>
      <c r="K8" s="3">
        <v>0</v>
      </c>
      <c r="L8" s="24">
        <v>1012.7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95</v>
      </c>
      <c r="D9" s="36" t="s">
        <v>79</v>
      </c>
      <c r="E9" s="36" t="s">
        <v>79</v>
      </c>
      <c r="F9" s="24">
        <v>28.5</v>
      </c>
      <c r="G9" s="3">
        <v>81</v>
      </c>
      <c r="H9" s="3" t="s">
        <v>35</v>
      </c>
      <c r="I9" s="37" t="s">
        <v>72</v>
      </c>
      <c r="J9" s="24" t="s">
        <v>100</v>
      </c>
      <c r="K9" s="3">
        <v>6</v>
      </c>
      <c r="L9" s="24">
        <v>1013.5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95</v>
      </c>
      <c r="D10" s="36" t="s">
        <v>79</v>
      </c>
      <c r="E10" s="36" t="s">
        <v>79</v>
      </c>
      <c r="F10" s="24">
        <v>28.6</v>
      </c>
      <c r="G10" s="3">
        <v>81</v>
      </c>
      <c r="H10" s="3" t="s">
        <v>36</v>
      </c>
      <c r="I10" s="37" t="s">
        <v>55</v>
      </c>
      <c r="J10" s="24" t="s">
        <v>86</v>
      </c>
      <c r="K10" s="3">
        <v>4</v>
      </c>
      <c r="L10" s="24">
        <v>1013.8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6" t="s">
        <v>95</v>
      </c>
      <c r="D11" s="36" t="s">
        <v>79</v>
      </c>
      <c r="E11" s="36">
        <v>2.6</v>
      </c>
      <c r="F11" s="24">
        <v>28.6</v>
      </c>
      <c r="G11" s="3">
        <v>82</v>
      </c>
      <c r="H11" s="3" t="s">
        <v>38</v>
      </c>
      <c r="I11" s="37" t="s">
        <v>55</v>
      </c>
      <c r="J11" s="24" t="s">
        <v>101</v>
      </c>
      <c r="K11" s="3">
        <v>1</v>
      </c>
      <c r="L11" s="24">
        <v>1013.6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95</v>
      </c>
      <c r="D12" s="36" t="s">
        <v>79</v>
      </c>
      <c r="E12" s="36" t="s">
        <v>79</v>
      </c>
      <c r="F12" s="24">
        <v>15.7</v>
      </c>
      <c r="G12" s="3">
        <v>87</v>
      </c>
      <c r="H12" s="3" t="s">
        <v>36</v>
      </c>
      <c r="I12" s="37" t="s">
        <v>61</v>
      </c>
      <c r="J12" s="24" t="s">
        <v>89</v>
      </c>
      <c r="K12" s="3">
        <v>6</v>
      </c>
      <c r="L12" s="24" t="s">
        <v>78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95</v>
      </c>
      <c r="D13" s="36" t="s">
        <v>80</v>
      </c>
      <c r="E13" s="36" t="s">
        <v>80</v>
      </c>
      <c r="F13" s="24">
        <v>25.8</v>
      </c>
      <c r="G13" s="3">
        <v>93</v>
      </c>
      <c r="H13" s="3" t="s">
        <v>45</v>
      </c>
      <c r="I13" s="37" t="s">
        <v>73</v>
      </c>
      <c r="J13" s="24" t="s">
        <v>94</v>
      </c>
      <c r="K13" s="3">
        <v>2</v>
      </c>
      <c r="L13" s="24">
        <v>1013.3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95</v>
      </c>
      <c r="D14" s="36" t="s">
        <v>96</v>
      </c>
      <c r="E14" s="36" t="s">
        <v>91</v>
      </c>
      <c r="F14" s="24" t="s">
        <v>97</v>
      </c>
      <c r="G14" s="3">
        <v>88</v>
      </c>
      <c r="H14" s="3" t="s">
        <v>38</v>
      </c>
      <c r="I14" s="37" t="s">
        <v>57</v>
      </c>
      <c r="J14" s="24" t="s">
        <v>102</v>
      </c>
      <c r="K14" s="3">
        <v>3</v>
      </c>
      <c r="L14" s="24" t="s">
        <v>104</v>
      </c>
      <c r="M14" s="3"/>
    </row>
    <row r="15" spans="1:15" x14ac:dyDescent="0.25">
      <c r="A15" s="1">
        <v>43497</v>
      </c>
      <c r="B15" s="2" t="s">
        <v>25</v>
      </c>
      <c r="C15" s="26" t="s">
        <v>95</v>
      </c>
      <c r="D15" s="36" t="s">
        <v>79</v>
      </c>
      <c r="E15" s="36" t="s">
        <v>79</v>
      </c>
      <c r="F15" s="24">
        <v>27.1</v>
      </c>
      <c r="G15" s="3">
        <v>89</v>
      </c>
      <c r="H15" s="3" t="s">
        <v>38</v>
      </c>
      <c r="I15" s="37" t="s">
        <v>61</v>
      </c>
      <c r="J15" s="24" t="s">
        <v>88</v>
      </c>
      <c r="K15" s="3">
        <v>1</v>
      </c>
      <c r="L15" s="24">
        <v>1013.2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95</v>
      </c>
      <c r="D16" s="36" t="s">
        <v>79</v>
      </c>
      <c r="E16" s="36" t="s">
        <v>79</v>
      </c>
      <c r="F16" s="24">
        <v>26.6</v>
      </c>
      <c r="G16" s="3">
        <v>89</v>
      </c>
      <c r="H16" s="3" t="s">
        <v>38</v>
      </c>
      <c r="I16" s="37" t="s">
        <v>55</v>
      </c>
      <c r="J16" s="24" t="s">
        <v>103</v>
      </c>
      <c r="K16" s="3">
        <v>1</v>
      </c>
      <c r="L16" s="24">
        <v>1013.6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81</v>
      </c>
      <c r="D17" s="36" t="s">
        <v>79</v>
      </c>
      <c r="E17" s="36" t="s">
        <v>79</v>
      </c>
      <c r="F17" s="24">
        <v>29.2</v>
      </c>
      <c r="G17" s="3">
        <v>63</v>
      </c>
      <c r="H17" s="3" t="s">
        <v>38</v>
      </c>
      <c r="I17" s="37" t="s">
        <v>55</v>
      </c>
      <c r="J17" s="24" t="s">
        <v>93</v>
      </c>
      <c r="K17" s="3">
        <v>2</v>
      </c>
      <c r="L17" s="24">
        <v>1012.1</v>
      </c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81</v>
      </c>
      <c r="D18" s="36" t="s">
        <v>79</v>
      </c>
      <c r="E18" s="36" t="s">
        <v>79</v>
      </c>
      <c r="F18" s="24" t="s">
        <v>82</v>
      </c>
      <c r="G18" s="3">
        <v>65</v>
      </c>
      <c r="H18" s="3" t="s">
        <v>38</v>
      </c>
      <c r="I18" s="37" t="s">
        <v>61</v>
      </c>
      <c r="J18" s="24" t="s">
        <v>94</v>
      </c>
      <c r="K18" s="3">
        <v>4</v>
      </c>
      <c r="L18" s="24">
        <v>1010.2</v>
      </c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81</v>
      </c>
      <c r="D19" s="36" t="s">
        <v>79</v>
      </c>
      <c r="E19" s="36" t="s">
        <v>79</v>
      </c>
      <c r="F19" s="24">
        <v>28.5</v>
      </c>
      <c r="G19" s="3">
        <v>79</v>
      </c>
      <c r="H19" s="3" t="s">
        <v>38</v>
      </c>
      <c r="I19" s="37" t="s">
        <v>56</v>
      </c>
      <c r="J19" s="24" t="s">
        <v>83</v>
      </c>
      <c r="K19" s="3">
        <v>3</v>
      </c>
      <c r="L19" s="24">
        <v>1010.4</v>
      </c>
      <c r="M19" s="3"/>
    </row>
    <row r="20" spans="1:15" ht="15" customHeight="1" x14ac:dyDescent="0.25">
      <c r="A20" s="3">
        <v>43410</v>
      </c>
      <c r="B20" s="3" t="s">
        <v>8</v>
      </c>
      <c r="C20" s="26" t="s">
        <v>81</v>
      </c>
      <c r="D20" s="36" t="s">
        <v>79</v>
      </c>
      <c r="E20" s="36" t="s">
        <v>79</v>
      </c>
      <c r="F20" s="24">
        <v>30.1</v>
      </c>
      <c r="G20" s="3">
        <v>59</v>
      </c>
      <c r="H20" s="3" t="s">
        <v>38</v>
      </c>
      <c r="I20" s="37" t="s">
        <v>55</v>
      </c>
      <c r="J20" s="24" t="s">
        <v>84</v>
      </c>
      <c r="K20" s="3">
        <v>1</v>
      </c>
      <c r="L20" s="24">
        <v>1010.2</v>
      </c>
      <c r="M20" s="3"/>
    </row>
    <row r="21" spans="1:15" ht="15" customHeight="1" x14ac:dyDescent="0.25">
      <c r="A21" s="1">
        <v>43415</v>
      </c>
      <c r="B21" s="1" t="s">
        <v>10</v>
      </c>
      <c r="C21" s="26" t="s">
        <v>81</v>
      </c>
      <c r="D21" s="36" t="s">
        <v>79</v>
      </c>
      <c r="E21" s="36" t="s">
        <v>79</v>
      </c>
      <c r="F21" s="24">
        <v>28.6</v>
      </c>
      <c r="G21" s="3">
        <v>72</v>
      </c>
      <c r="H21" s="3" t="s">
        <v>38</v>
      </c>
      <c r="I21" s="37" t="s">
        <v>61</v>
      </c>
      <c r="J21" s="24" t="s">
        <v>85</v>
      </c>
      <c r="K21" s="3">
        <v>2</v>
      </c>
      <c r="L21" s="24">
        <v>1010.9</v>
      </c>
      <c r="M21" s="3"/>
    </row>
    <row r="22" spans="1:15" ht="15" customHeight="1" x14ac:dyDescent="0.25">
      <c r="A22" s="1">
        <v>43422</v>
      </c>
      <c r="B22" s="1" t="s">
        <v>13</v>
      </c>
      <c r="C22" s="26" t="s">
        <v>81</v>
      </c>
      <c r="D22" s="36" t="s">
        <v>79</v>
      </c>
      <c r="E22" s="36" t="s">
        <v>79</v>
      </c>
      <c r="F22" s="24">
        <v>27.6</v>
      </c>
      <c r="G22" s="3">
        <v>80</v>
      </c>
      <c r="H22" s="3" t="s">
        <v>38</v>
      </c>
      <c r="I22" s="37" t="s">
        <v>55</v>
      </c>
      <c r="J22" s="24" t="s">
        <v>86</v>
      </c>
      <c r="K22" s="3">
        <v>0</v>
      </c>
      <c r="L22" s="24">
        <v>1011.4</v>
      </c>
      <c r="M22" s="3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81</v>
      </c>
      <c r="D23" s="36" t="s">
        <v>79</v>
      </c>
      <c r="E23" s="36" t="s">
        <v>79</v>
      </c>
      <c r="F23" s="24">
        <v>20.8</v>
      </c>
      <c r="G23" s="3">
        <v>76</v>
      </c>
      <c r="H23" s="3" t="s">
        <v>40</v>
      </c>
      <c r="I23" s="37" t="s">
        <v>55</v>
      </c>
      <c r="J23" s="24" t="s">
        <v>90</v>
      </c>
      <c r="K23" s="3">
        <v>1</v>
      </c>
      <c r="L23" s="24" t="s">
        <v>78</v>
      </c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81</v>
      </c>
      <c r="D24" s="36" t="s">
        <v>79</v>
      </c>
      <c r="E24" s="36" t="s">
        <v>79</v>
      </c>
      <c r="F24" s="24">
        <v>25.1</v>
      </c>
      <c r="G24" s="3">
        <v>69</v>
      </c>
      <c r="H24" s="3" t="s">
        <v>38</v>
      </c>
      <c r="I24" s="37" t="s">
        <v>56</v>
      </c>
      <c r="J24" s="24" t="s">
        <v>87</v>
      </c>
      <c r="K24" s="3">
        <v>0</v>
      </c>
      <c r="L24" s="24" t="s">
        <v>78</v>
      </c>
      <c r="M24" s="3"/>
    </row>
    <row r="25" spans="1:15" x14ac:dyDescent="0.25">
      <c r="A25" s="1">
        <v>43475</v>
      </c>
      <c r="B25" s="2" t="s">
        <v>26</v>
      </c>
      <c r="C25" s="26" t="s">
        <v>81</v>
      </c>
      <c r="D25" s="36" t="s">
        <v>79</v>
      </c>
      <c r="E25" s="36" t="s">
        <v>79</v>
      </c>
      <c r="F25" s="24">
        <v>30.2</v>
      </c>
      <c r="G25" s="3">
        <v>69</v>
      </c>
      <c r="H25" s="3" t="s">
        <v>38</v>
      </c>
      <c r="I25" s="37" t="s">
        <v>55</v>
      </c>
      <c r="J25" s="24" t="s">
        <v>92</v>
      </c>
      <c r="K25" s="3">
        <v>0</v>
      </c>
      <c r="L25" s="24">
        <v>1010.7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7:H9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I1:I6 M1:M25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C2" sqref="C2:C16"/>
    </sheetView>
  </sheetViews>
  <sheetFormatPr defaultColWidth="9.140625" defaultRowHeight="15" x14ac:dyDescent="0.25"/>
  <cols>
    <col min="1" max="1" width="9.140625" style="32"/>
    <col min="2" max="2" width="20.42578125" style="32" bestFit="1" customWidth="1"/>
    <col min="3" max="3" width="7.85546875" style="32" customWidth="1"/>
    <col min="4" max="4" width="7.7109375" style="32" customWidth="1"/>
    <col min="5" max="5" width="19" style="32" bestFit="1" customWidth="1"/>
    <col min="6" max="6" width="19" style="32" customWidth="1"/>
    <col min="7" max="10" width="9.140625" style="32"/>
    <col min="11" max="11" width="9.140625" style="32" customWidth="1"/>
    <col min="12" max="12" width="0.140625" style="32" customWidth="1"/>
    <col min="13" max="13" width="14.85546875" style="32" hidden="1" customWidth="1"/>
    <col min="14" max="14" width="13.85546875" style="32" hidden="1" customWidth="1"/>
    <col min="15" max="16384" width="9.140625" style="32"/>
  </cols>
  <sheetData>
    <row r="1" spans="1:14" x14ac:dyDescent="0.25">
      <c r="A1" s="31" t="s">
        <v>0</v>
      </c>
      <c r="B1" s="31" t="s">
        <v>1</v>
      </c>
      <c r="C1" s="31" t="s">
        <v>64</v>
      </c>
      <c r="D1" s="31" t="s">
        <v>49</v>
      </c>
      <c r="E1" s="31" t="s">
        <v>48</v>
      </c>
      <c r="F1" s="31" t="s">
        <v>75</v>
      </c>
      <c r="G1" s="32">
        <v>1</v>
      </c>
      <c r="H1" s="32" t="s">
        <v>44</v>
      </c>
      <c r="L1" s="32">
        <v>1</v>
      </c>
      <c r="N1" s="32" t="str">
        <f t="shared" ref="N1:N16" si="0">VLOOKUP(L1,$G$1:$H$16,2,FALSE)</f>
        <v>rain</v>
      </c>
    </row>
    <row r="2" spans="1:14" x14ac:dyDescent="0.25">
      <c r="A2" s="33">
        <v>43404</v>
      </c>
      <c r="B2" s="33" t="s">
        <v>7</v>
      </c>
      <c r="C2">
        <v>198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2">
        <v>2</v>
      </c>
      <c r="H2" s="32" t="s">
        <v>32</v>
      </c>
      <c r="L2" s="32">
        <v>4</v>
      </c>
      <c r="N2" s="32" t="str">
        <f t="shared" si="0"/>
        <v>drizzling</v>
      </c>
    </row>
    <row r="3" spans="1:14" x14ac:dyDescent="0.25">
      <c r="A3" s="34">
        <v>43410</v>
      </c>
      <c r="B3" s="34" t="s">
        <v>8</v>
      </c>
      <c r="C3">
        <v>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2">
        <v>3</v>
      </c>
      <c r="H3" s="32" t="s">
        <v>42</v>
      </c>
      <c r="L3" s="32">
        <v>10</v>
      </c>
      <c r="N3" s="32" t="str">
        <f t="shared" si="0"/>
        <v>thunderstorms</v>
      </c>
    </row>
    <row r="4" spans="1:14" x14ac:dyDescent="0.25">
      <c r="A4" s="33">
        <v>43413</v>
      </c>
      <c r="B4" s="35" t="s">
        <v>9</v>
      </c>
      <c r="C4">
        <v>235</v>
      </c>
      <c r="D4" s="25">
        <v>13</v>
      </c>
      <c r="E4" s="3" t="str">
        <f t="shared" si="1"/>
        <v>fairnight</v>
      </c>
      <c r="F4" s="3" t="str">
        <f>Sheet4!L3</f>
        <v>SW</v>
      </c>
      <c r="G4" s="32">
        <v>4</v>
      </c>
      <c r="H4" s="32" t="s">
        <v>37</v>
      </c>
      <c r="L4" s="32">
        <v>10</v>
      </c>
      <c r="N4" s="32" t="str">
        <f t="shared" si="0"/>
        <v>thunderstorms</v>
      </c>
    </row>
    <row r="5" spans="1:14" x14ac:dyDescent="0.25">
      <c r="A5" s="33">
        <v>43415</v>
      </c>
      <c r="B5" s="33" t="s">
        <v>10</v>
      </c>
      <c r="C5">
        <v>270</v>
      </c>
      <c r="D5" s="25">
        <v>16</v>
      </c>
      <c r="E5" s="3" t="str">
        <f t="shared" si="1"/>
        <v>partlycloudynight</v>
      </c>
      <c r="F5" s="3" t="str">
        <f>Sheet4!L4</f>
        <v>W</v>
      </c>
      <c r="G5" s="32">
        <v>5</v>
      </c>
      <c r="H5" s="32" t="s">
        <v>35</v>
      </c>
      <c r="L5" s="32">
        <v>10</v>
      </c>
      <c r="N5" s="32" t="str">
        <f t="shared" si="0"/>
        <v>thunderstorms</v>
      </c>
    </row>
    <row r="6" spans="1:14" x14ac:dyDescent="0.25">
      <c r="A6" s="33">
        <v>43418</v>
      </c>
      <c r="B6" s="35" t="s">
        <v>11</v>
      </c>
      <c r="C6">
        <v>270</v>
      </c>
      <c r="D6" s="25">
        <v>13</v>
      </c>
      <c r="E6" s="3" t="str">
        <f t="shared" si="1"/>
        <v>fairnight</v>
      </c>
      <c r="F6" s="3" t="str">
        <f>Sheet4!L5</f>
        <v>W</v>
      </c>
      <c r="G6" s="32">
        <v>6</v>
      </c>
      <c r="H6" s="32" t="s">
        <v>34</v>
      </c>
      <c r="L6" s="32">
        <v>10</v>
      </c>
      <c r="N6" s="32" t="str">
        <f t="shared" si="0"/>
        <v>thunderstorms</v>
      </c>
    </row>
    <row r="7" spans="1:14" x14ac:dyDescent="0.25">
      <c r="A7" s="33">
        <v>43421</v>
      </c>
      <c r="B7" s="35" t="s">
        <v>12</v>
      </c>
      <c r="C7">
        <v>261</v>
      </c>
      <c r="D7" s="25">
        <v>13</v>
      </c>
      <c r="E7" s="3" t="str">
        <f t="shared" si="1"/>
        <v>fairnight</v>
      </c>
      <c r="F7" s="3" t="str">
        <f>Sheet4!L6</f>
        <v>W</v>
      </c>
      <c r="G7" s="32">
        <v>7</v>
      </c>
      <c r="H7" s="32" t="s">
        <v>43</v>
      </c>
      <c r="L7" s="32">
        <v>10</v>
      </c>
      <c r="N7" s="32" t="str">
        <f t="shared" si="0"/>
        <v>thunderstorms</v>
      </c>
    </row>
    <row r="8" spans="1:14" x14ac:dyDescent="0.25">
      <c r="A8" s="33">
        <v>43422</v>
      </c>
      <c r="B8" s="33" t="s">
        <v>13</v>
      </c>
      <c r="C8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2">
        <v>8</v>
      </c>
      <c r="H8" s="32" t="s">
        <v>39</v>
      </c>
      <c r="L8" s="32">
        <v>10</v>
      </c>
      <c r="N8" s="32" t="str">
        <f t="shared" si="0"/>
        <v>thunderstorms</v>
      </c>
    </row>
    <row r="9" spans="1:14" x14ac:dyDescent="0.25">
      <c r="A9" s="33">
        <v>43424</v>
      </c>
      <c r="B9" s="33" t="s">
        <v>14</v>
      </c>
      <c r="C9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2">
        <v>9</v>
      </c>
      <c r="H9" s="32" t="s">
        <v>33</v>
      </c>
      <c r="L9" s="32">
        <v>10</v>
      </c>
      <c r="N9" s="32" t="str">
        <f t="shared" si="0"/>
        <v>thunderstorms</v>
      </c>
    </row>
    <row r="10" spans="1:14" x14ac:dyDescent="0.25">
      <c r="A10" s="33">
        <v>43436</v>
      </c>
      <c r="B10" s="35" t="s">
        <v>15</v>
      </c>
      <c r="C10">
        <v>90</v>
      </c>
      <c r="D10" s="25">
        <v>16</v>
      </c>
      <c r="E10" s="3" t="str">
        <f t="shared" si="1"/>
        <v>partlycloudynight</v>
      </c>
      <c r="F10" s="3" t="str">
        <f>Sheet4!L9</f>
        <v>E</v>
      </c>
      <c r="G10" s="32">
        <v>10</v>
      </c>
      <c r="H10" s="32" t="s">
        <v>47</v>
      </c>
      <c r="L10" s="32">
        <v>10</v>
      </c>
      <c r="N10" s="32" t="str">
        <f t="shared" si="0"/>
        <v>thunderstorms</v>
      </c>
    </row>
    <row r="11" spans="1:14" x14ac:dyDescent="0.25">
      <c r="A11" s="33">
        <v>43441</v>
      </c>
      <c r="B11" s="35" t="s">
        <v>16</v>
      </c>
      <c r="C11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2">
        <v>11</v>
      </c>
      <c r="H11" s="32" t="s">
        <v>45</v>
      </c>
      <c r="L11" s="32">
        <v>10</v>
      </c>
      <c r="N11" s="32" t="str">
        <f t="shared" si="0"/>
        <v>thunderstorms</v>
      </c>
    </row>
    <row r="12" spans="1:14" x14ac:dyDescent="0.25">
      <c r="A12" s="33">
        <v>43444</v>
      </c>
      <c r="B12" s="35" t="s">
        <v>30</v>
      </c>
      <c r="C12">
        <v>230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2">
        <v>12</v>
      </c>
      <c r="H12" s="32" t="s">
        <v>41</v>
      </c>
      <c r="L12" s="32">
        <v>10</v>
      </c>
      <c r="N12" s="32" t="str">
        <f t="shared" si="0"/>
        <v>thunderstorms</v>
      </c>
    </row>
    <row r="13" spans="1:14" x14ac:dyDescent="0.25">
      <c r="A13" s="33">
        <v>43450</v>
      </c>
      <c r="B13" s="35" t="s">
        <v>17</v>
      </c>
      <c r="C13">
        <v>208</v>
      </c>
      <c r="D13" s="25">
        <v>11</v>
      </c>
      <c r="E13" s="3" t="str">
        <f t="shared" si="1"/>
        <v>showers</v>
      </c>
      <c r="F13" s="3" t="str">
        <f>Sheet4!L12</f>
        <v>SSW</v>
      </c>
      <c r="G13" s="32">
        <v>13</v>
      </c>
      <c r="H13" s="32" t="s">
        <v>38</v>
      </c>
      <c r="L13" s="32">
        <v>10</v>
      </c>
      <c r="N13" s="32" t="str">
        <f t="shared" si="0"/>
        <v>thunderstorms</v>
      </c>
    </row>
    <row r="14" spans="1:14" x14ac:dyDescent="0.25">
      <c r="A14" s="33">
        <v>43466</v>
      </c>
      <c r="B14" s="35" t="s">
        <v>18</v>
      </c>
      <c r="C14">
        <v>238</v>
      </c>
      <c r="D14" s="25">
        <v>13</v>
      </c>
      <c r="E14" s="3" t="str">
        <f t="shared" si="1"/>
        <v>fairnight</v>
      </c>
      <c r="F14" s="3" t="str">
        <f>Sheet4!L13</f>
        <v>WSW</v>
      </c>
      <c r="G14" s="32">
        <v>14</v>
      </c>
      <c r="H14" s="32" t="s">
        <v>46</v>
      </c>
      <c r="L14" s="32">
        <v>10</v>
      </c>
      <c r="N14" s="32" t="str">
        <f t="shared" si="0"/>
        <v>thunderstorms</v>
      </c>
    </row>
    <row r="15" spans="1:14" x14ac:dyDescent="0.25">
      <c r="A15" s="33">
        <v>43467</v>
      </c>
      <c r="B15" s="35" t="s">
        <v>19</v>
      </c>
      <c r="C15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2">
        <v>15</v>
      </c>
      <c r="H15" s="32" t="s">
        <v>52</v>
      </c>
      <c r="L15" s="32">
        <v>10</v>
      </c>
      <c r="N15" s="32" t="str">
        <f t="shared" si="0"/>
        <v>thunderstorms</v>
      </c>
    </row>
    <row r="16" spans="1:14" x14ac:dyDescent="0.25">
      <c r="A16" s="33">
        <v>43473</v>
      </c>
      <c r="B16" s="35" t="s">
        <v>20</v>
      </c>
      <c r="C16">
        <v>275</v>
      </c>
      <c r="D16" s="25">
        <v>13</v>
      </c>
      <c r="E16" s="3" t="str">
        <f t="shared" si="1"/>
        <v>fairnight</v>
      </c>
      <c r="F16" s="3" t="str">
        <f>Sheet4!L15</f>
        <v>W</v>
      </c>
      <c r="G16" s="32">
        <v>16</v>
      </c>
      <c r="H16" s="32" t="s">
        <v>36</v>
      </c>
      <c r="L16" s="32">
        <v>10</v>
      </c>
      <c r="N16" s="32" t="str">
        <f t="shared" si="0"/>
        <v>thunderstorms</v>
      </c>
    </row>
    <row r="17" spans="1:14" x14ac:dyDescent="0.25">
      <c r="A17" s="33">
        <v>43476</v>
      </c>
      <c r="B17" s="33" t="s">
        <v>21</v>
      </c>
      <c r="C17">
        <v>299</v>
      </c>
      <c r="D17" s="25">
        <v>19</v>
      </c>
      <c r="E17" s="3" t="str">
        <f t="shared" si="1"/>
        <v>hazenight</v>
      </c>
      <c r="F17" s="3" t="str">
        <f>Sheet4!L16</f>
        <v>WNW</v>
      </c>
      <c r="G17" s="32">
        <v>17</v>
      </c>
      <c r="H17" s="32" t="s">
        <v>50</v>
      </c>
      <c r="L17" s="32">
        <v>17</v>
      </c>
      <c r="N17" s="32" t="str">
        <f>VLOOKUP(L17,$G$1:$H$17,2,FALSE)</f>
        <v>fognight</v>
      </c>
    </row>
    <row r="18" spans="1:14" x14ac:dyDescent="0.25">
      <c r="A18" s="33">
        <v>43479</v>
      </c>
      <c r="B18" s="33" t="s">
        <v>22</v>
      </c>
      <c r="C18">
        <v>334</v>
      </c>
      <c r="D18" s="25">
        <v>13</v>
      </c>
      <c r="E18" s="3" t="str">
        <f t="shared" si="1"/>
        <v>fairnight</v>
      </c>
      <c r="F18" s="3" t="str">
        <f>Sheet4!L17</f>
        <v>NNW</v>
      </c>
      <c r="G18" s="32">
        <v>18</v>
      </c>
      <c r="H18" s="32" t="s">
        <v>51</v>
      </c>
    </row>
    <row r="19" spans="1:14" x14ac:dyDescent="0.25">
      <c r="A19" s="33">
        <v>43486</v>
      </c>
      <c r="B19" s="35" t="s">
        <v>23</v>
      </c>
      <c r="C19">
        <v>283</v>
      </c>
      <c r="D19" s="25">
        <v>11</v>
      </c>
      <c r="E19" s="3" t="str">
        <f t="shared" si="1"/>
        <v>showers</v>
      </c>
      <c r="F19" s="3" t="str">
        <f>Sheet4!L18</f>
        <v>WNW</v>
      </c>
      <c r="G19" s="32">
        <v>19</v>
      </c>
      <c r="H19" s="32" t="s">
        <v>40</v>
      </c>
    </row>
    <row r="20" spans="1:14" x14ac:dyDescent="0.25">
      <c r="A20" s="33">
        <v>43495</v>
      </c>
      <c r="B20" s="35" t="s">
        <v>24</v>
      </c>
      <c r="C20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3">
        <v>43497</v>
      </c>
      <c r="B21" s="35" t="s">
        <v>25</v>
      </c>
      <c r="C21">
        <v>222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3">
        <v>43475</v>
      </c>
      <c r="B22" s="35" t="s">
        <v>26</v>
      </c>
      <c r="C22">
        <v>189</v>
      </c>
      <c r="D22" s="25">
        <v>13</v>
      </c>
      <c r="E22" s="3" t="str">
        <f t="shared" si="1"/>
        <v>fairnight</v>
      </c>
      <c r="F22" s="3" t="str">
        <f>Sheet4!L21</f>
        <v>S</v>
      </c>
    </row>
    <row r="23" spans="1:14" x14ac:dyDescent="0.25">
      <c r="A23" s="33">
        <v>330601</v>
      </c>
      <c r="B23" s="35" t="s">
        <v>27</v>
      </c>
      <c r="C2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3">
        <v>821501</v>
      </c>
      <c r="B24" s="33" t="s">
        <v>28</v>
      </c>
      <c r="C24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3">
        <v>721501</v>
      </c>
      <c r="B25" s="33" t="s">
        <v>29</v>
      </c>
      <c r="C25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283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2026-09-02T18:52:20Z</dcterms:modified>
</cp:coreProperties>
</file>