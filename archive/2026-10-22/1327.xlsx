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8_{19BEF40A-9012-439C-9BBD-D5144579584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Sheet1!$A$21:$O$21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<sst xmlns="http://schemas.openxmlformats.org/spreadsheetml/2006/main" count="666" uniqueCount="120">
  <si>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</si>
  <si>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</si>
  <si>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</si>
  <si>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</si>
  <si>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</si>
  <si>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</si>
  <si>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</si>
  <si>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</si>
  <si>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</si>
  <si>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</si>
  <si>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</si>
  <si>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</si>
  <si>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</si>
  <si>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</si>
  <si>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</si>
  <si>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</si>
  <si>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</si>
  <si>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</si>
  <si>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</si>
  <si>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</si>
  <si>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</si>
  <si>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</si>
  <si>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</si>
  <si>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</si>
  <si>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</si>
  <si>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</si>
  <si>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</si>
  <si>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</si>
  <si>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</si>
  <si>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</si>
  <si>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</si>
  <si>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</si>
  <si>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</si>
  <si>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</si>
  <si>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</si>
  <si>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</si>
  <si>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</si>
  <si>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</si>
  <si>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</si>
  <si>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</si>
  <si>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</si>
  <si>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</si>
  <si>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</si>
  <si>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</si>
  <si>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</si>
  <si>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</si>
  <si>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</si>
  <si>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</si>
  <si>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</si>
  <si>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</si>
  <si>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</si>
  <si>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</si>
  <si>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</si>
  <si>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</si>
  <si>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</si>
  <si>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</si>
  <si>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</si>
  <si>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</si>
  <si>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</si>
  <si>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</si>
  <si>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</si>
  <si>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</si>
  <si>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</si>
  <si>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</si>
  <si>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</si>
  <si>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</si>
  <si>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</si>
  <si>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</si>
  <si>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</si>
  <si>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</si>
  <si>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</si>
  <si>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</si>
  <si>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</si>
  <si>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</si>
  <si>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</si>
  <si>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</si>
  <si>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</si>
  <si>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</si>
  <si>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</si>
  <si>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</si>
  <si>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</si>
  <si>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25.0</t>
  </si>
  <si>
    <t>5.0</t>
  </si>
  <si>
    <t>10.0</t>
  </si>
  <si>
    <t>TRACE</t>
  </si>
  <si>
    <t>2.5</t>
  </si>
  <si>
    <t>0.1</t>
  </si>
  <si>
    <t>1.6</t>
  </si>
  <si>
    <t>27.0</t>
  </si>
  <si>
    <t>3.2</t>
  </si>
  <si>
    <t>2026-10-22 1730</t>
  </si>
  <si>
    <t>52.3</t>
  </si>
  <si>
    <t>1.4</t>
  </si>
  <si>
    <t>4.1</t>
  </si>
  <si>
    <t>0.8</t>
  </si>
  <si>
    <t>1.1</t>
  </si>
  <si>
    <t>33.0</t>
  </si>
  <si>
    <t>6.3</t>
  </si>
  <si>
    <t>0.6</t>
  </si>
  <si>
    <t>7.3</t>
  </si>
  <si>
    <t>0.5</t>
  </si>
  <si>
    <t>8.0</t>
  </si>
  <si>
    <t>1.0</t>
  </si>
  <si>
    <t>2.6</t>
  </si>
  <si>
    <t>53.8</t>
  </si>
  <si>
    <t>21.2</t>
  </si>
  <si>
    <t>11.4</t>
  </si>
  <si>
    <t>8.8</t>
  </si>
  <si>
    <t>3.4</t>
  </si>
  <si>
    <t>80.9</t>
  </si>
  <si>
    <t>116.3</t>
  </si>
  <si>
    <t>83.3</t>
  </si>
  <si>
    <t>33.7</t>
  </si>
  <si>
    <t>11.3</t>
  </si>
  <si>
    <t>22.0</t>
  </si>
  <si>
    <t>1012.0</t>
  </si>
  <si>
    <t>31.0</t>
  </si>
  <si>
    <t>12.0</t>
  </si>
  <si>
    <t>14.0</t>
  </si>
  <si>
    <t>32.0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</si>
</sst>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workbookViewId="0">
      <selection activeCell="J24" sqref="J24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90</v>
      </c>
      <c r="D2" s="35" t="s">
        <v>80</v>
      </c>
      <c r="E2" s="35" t="s">
        <v>80</v>
      </c>
      <c r="F2" s="24">
        <v>28.4</v>
      </c>
      <c r="G2" s="24">
        <v>88</v>
      </c>
      <c r="H2" s="3" t="s">
        <v>35</v>
      </c>
      <c r="I2" s="3" t="s">
        <v>69</v>
      </c>
      <c r="J2" s="24" t="s">
        <v>82</v>
      </c>
      <c r="K2" s="3">
        <v>8</v>
      </c>
      <c r="L2" s="24">
        <v>1010.1</v>
      </c>
      <c r="M2" s="24">
        <v>26.7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90</v>
      </c>
      <c r="D3" s="35" t="s">
        <v>91</v>
      </c>
      <c r="E3" s="35" t="s">
        <v>104</v>
      </c>
      <c r="F3" s="24">
        <v>25.5</v>
      </c>
      <c r="G3" s="24">
        <v>91</v>
      </c>
      <c r="H3" s="3" t="s">
        <v>41</v>
      </c>
      <c r="I3" s="3" t="s">
        <v>73</v>
      </c>
      <c r="J3" s="24" t="s">
        <v>117</v>
      </c>
      <c r="K3" s="3">
        <v>8</v>
      </c>
      <c r="L3" s="24">
        <v>1010.7</v>
      </c>
      <c r="M3" s="24">
        <v>23.9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90</v>
      </c>
      <c r="D4" s="35" t="s">
        <v>92</v>
      </c>
      <c r="E4" s="35" t="s">
        <v>105</v>
      </c>
      <c r="F4" s="24">
        <v>27.8</v>
      </c>
      <c r="G4" s="24">
        <v>89</v>
      </c>
      <c r="H4" s="3" t="s">
        <v>35</v>
      </c>
      <c r="I4" s="3" t="s">
        <v>70</v>
      </c>
      <c r="J4" s="24">
        <v>2.5</v>
      </c>
      <c r="K4" s="3">
        <v>8</v>
      </c>
      <c r="L4" s="24">
        <v>1010.4</v>
      </c>
      <c r="M4" s="24">
        <v>25.9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90</v>
      </c>
      <c r="D5" s="35" t="s">
        <v>93</v>
      </c>
      <c r="E5" s="35" t="s">
        <v>93</v>
      </c>
      <c r="F5" s="24" t="s">
        <v>88</v>
      </c>
      <c r="G5" s="24">
        <v>92</v>
      </c>
      <c r="H5" s="3" t="s">
        <v>35</v>
      </c>
      <c r="I5" s="3" t="s">
        <v>66</v>
      </c>
      <c r="J5" s="24" t="s">
        <v>80</v>
      </c>
      <c r="K5" s="3">
        <v>8</v>
      </c>
      <c r="L5" s="24">
        <v>1011.1</v>
      </c>
      <c r="M5" s="24">
        <v>25.6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90</v>
      </c>
      <c r="D6" s="35" t="s">
        <v>94</v>
      </c>
      <c r="E6" s="35" t="s">
        <v>94</v>
      </c>
      <c r="F6" s="24">
        <v>26.1</v>
      </c>
      <c r="G6" s="24">
        <v>93</v>
      </c>
      <c r="H6" s="3" t="s">
        <v>41</v>
      </c>
      <c r="I6" s="3" t="s">
        <v>58</v>
      </c>
      <c r="J6" s="24">
        <v>3.2</v>
      </c>
      <c r="K6" s="3">
        <v>8</v>
      </c>
      <c r="L6" s="24">
        <v>1010.9</v>
      </c>
      <c r="M6" s="24">
        <v>24.9</v>
      </c>
      <c r="N6" s="35"/>
    </row>
    <row r="7" spans="1:15" ht="15.75" customHeight="1" x14ac:dyDescent="0.25">
      <c r="A7" s="1">
        <v>43421</v>
      </c>
      <c r="B7" s="2" t="s">
        <v>12</v>
      </c>
      <c r="C7" s="25" t="s">
        <v>90</v>
      </c>
      <c r="D7" s="35" t="s">
        <v>92</v>
      </c>
      <c r="E7" s="35" t="s">
        <v>106</v>
      </c>
      <c r="F7" s="24">
        <v>27.2</v>
      </c>
      <c r="G7" s="24">
        <v>95</v>
      </c>
      <c r="H7" s="3" t="s">
        <v>45</v>
      </c>
      <c r="I7" s="3" t="s">
        <v>68</v>
      </c>
      <c r="J7" s="24">
        <v>0.7</v>
      </c>
      <c r="K7" s="3">
        <v>8</v>
      </c>
      <c r="L7" s="24">
        <v>1010.9</v>
      </c>
      <c r="M7" s="24">
        <v>26.2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90</v>
      </c>
      <c r="D8" s="35" t="s">
        <v>80</v>
      </c>
      <c r="E8" s="35" t="s">
        <v>83</v>
      </c>
      <c r="F8" s="24">
        <v>26.5</v>
      </c>
      <c r="G8" s="24">
        <v>88</v>
      </c>
      <c r="H8" s="3" t="s">
        <v>35</v>
      </c>
      <c r="I8" s="3" t="s">
        <v>61</v>
      </c>
      <c r="J8" s="24" t="s">
        <v>82</v>
      </c>
      <c r="K8" s="3">
        <v>8</v>
      </c>
      <c r="L8" s="24">
        <v>1010.9</v>
      </c>
      <c r="M8" s="24">
        <v>24.3</v>
      </c>
      <c r="N8" s="35"/>
      <c r="O8" s="24"/>
    </row>
    <row r="9" spans="1:15" ht="15.75" customHeight="1" x14ac:dyDescent="0.25">
      <c r="A9" s="1">
        <v>43424</v>
      </c>
      <c r="B9" s="1" t="s">
        <v>14</v>
      </c>
      <c r="C9" s="25" t="s">
        <v>90</v>
      </c>
      <c r="D9" s="35" t="s">
        <v>95</v>
      </c>
      <c r="E9" s="35" t="s">
        <v>95</v>
      </c>
      <c r="F9" s="24">
        <v>27.5</v>
      </c>
      <c r="G9" s="24">
        <v>95</v>
      </c>
      <c r="H9" s="3" t="s">
        <v>35</v>
      </c>
      <c r="I9" s="3" t="s">
        <v>55</v>
      </c>
      <c r="J9" s="24">
        <v>1.4</v>
      </c>
      <c r="K9" s="3">
        <v>8</v>
      </c>
      <c r="L9" s="24">
        <v>1010.1</v>
      </c>
      <c r="M9" s="24">
        <v>26.5</v>
      </c>
      <c r="N9" s="35"/>
      <c r="O9" s="24"/>
    </row>
    <row r="10" spans="1:15" ht="15.75" customHeight="1" x14ac:dyDescent="0.25">
      <c r="A10" s="1">
        <v>43436</v>
      </c>
      <c r="B10" s="2" t="s">
        <v>15</v>
      </c>
      <c r="C10" s="25" t="s">
        <v>90</v>
      </c>
      <c r="D10" s="35" t="s">
        <v>96</v>
      </c>
      <c r="E10" s="35" t="s">
        <v>96</v>
      </c>
      <c r="F10" s="24">
        <v>24.8</v>
      </c>
      <c r="G10" s="24">
        <v>95</v>
      </c>
      <c r="H10" s="3" t="s">
        <v>41</v>
      </c>
      <c r="I10" s="3" t="s">
        <v>66</v>
      </c>
      <c r="J10" s="24" t="s">
        <v>80</v>
      </c>
      <c r="K10" s="3">
        <v>7</v>
      </c>
      <c r="L10" s="24">
        <v>1011.4</v>
      </c>
      <c r="M10" s="24">
        <v>24.1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90</v>
      </c>
      <c r="D11" s="35" t="s">
        <v>97</v>
      </c>
      <c r="E11" s="35" t="s">
        <v>107</v>
      </c>
      <c r="F11" s="24">
        <v>25.1</v>
      </c>
      <c r="G11" s="24">
        <v>94</v>
      </c>
      <c r="H11" s="3" t="s">
        <v>37</v>
      </c>
      <c r="I11" s="3" t="s">
        <v>72</v>
      </c>
      <c r="J11" s="24">
        <v>6.1</v>
      </c>
      <c r="K11" s="3">
        <v>8</v>
      </c>
      <c r="L11" s="24">
        <v>1010.9</v>
      </c>
      <c r="M11" s="24">
        <v>24.1</v>
      </c>
      <c r="N11" s="35"/>
      <c r="O11" s="24"/>
    </row>
    <row r="12" spans="1:15" ht="15" x14ac:dyDescent="0.25">
      <c r="A12" s="1">
        <v>43444</v>
      </c>
      <c r="B12" s="2" t="s">
        <v>30</v>
      </c>
      <c r="C12" s="25" t="s">
        <v>90</v>
      </c>
      <c r="D12" s="35" t="s">
        <v>98</v>
      </c>
      <c r="E12" s="35" t="s">
        <v>108</v>
      </c>
      <c r="F12" s="24">
        <v>23.8</v>
      </c>
      <c r="G12" s="24">
        <v>93</v>
      </c>
      <c r="H12" s="3" t="s">
        <v>45</v>
      </c>
      <c r="I12" s="3" t="s">
        <v>73</v>
      </c>
      <c r="J12" s="24">
        <v>2.2000000000000002</v>
      </c>
      <c r="K12" s="3">
        <v>8</v>
      </c>
      <c r="L12" s="24">
        <v>1011.1</v>
      </c>
      <c r="M12" s="24">
        <v>22.5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90</v>
      </c>
      <c r="D13" s="35" t="s">
        <v>99</v>
      </c>
      <c r="E13" s="35" t="s">
        <v>109</v>
      </c>
      <c r="F13" s="24" t="s">
        <v>81</v>
      </c>
      <c r="G13" s="24">
        <v>96</v>
      </c>
      <c r="H13" s="3" t="s">
        <v>43</v>
      </c>
      <c r="I13" s="3" t="s">
        <v>71</v>
      </c>
      <c r="J13" s="24">
        <v>7.2</v>
      </c>
      <c r="K13" s="3">
        <v>8</v>
      </c>
      <c r="L13" s="24">
        <v>1011.4</v>
      </c>
      <c r="M13" s="24">
        <v>24.4</v>
      </c>
      <c r="N13" s="35"/>
      <c r="O13" s="24"/>
    </row>
    <row r="14" spans="1:15" ht="15.75" customHeight="1" x14ac:dyDescent="0.25">
      <c r="A14" s="1">
        <v>43466</v>
      </c>
      <c r="B14" s="2" t="s">
        <v>18</v>
      </c>
      <c r="C14" s="25" t="s">
        <v>90</v>
      </c>
      <c r="D14" s="35" t="s">
        <v>100</v>
      </c>
      <c r="E14" s="35" t="s">
        <v>110</v>
      </c>
      <c r="F14" s="24">
        <v>25.2</v>
      </c>
      <c r="G14" s="24">
        <v>95</v>
      </c>
      <c r="H14" s="3" t="s">
        <v>35</v>
      </c>
      <c r="I14" s="3" t="s">
        <v>60</v>
      </c>
      <c r="J14" s="24">
        <v>2.5</v>
      </c>
      <c r="K14" s="3">
        <v>8</v>
      </c>
      <c r="L14" s="24" t="s">
        <v>115</v>
      </c>
      <c r="M14" s="24">
        <v>24.5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90</v>
      </c>
      <c r="D15" s="35" t="s">
        <v>101</v>
      </c>
      <c r="E15" s="35" t="s">
        <v>111</v>
      </c>
      <c r="F15" s="24">
        <v>25.3</v>
      </c>
      <c r="G15" s="24">
        <v>97</v>
      </c>
      <c r="H15" s="3" t="s">
        <v>37</v>
      </c>
      <c r="I15" s="3" t="s">
        <v>56</v>
      </c>
      <c r="J15" s="24" t="s">
        <v>118</v>
      </c>
      <c r="K15" s="3">
        <v>8</v>
      </c>
      <c r="L15" s="24" t="s">
        <v>115</v>
      </c>
      <c r="M15" s="24">
        <v>24.7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90</v>
      </c>
      <c r="D16" s="35" t="s">
        <v>80</v>
      </c>
      <c r="E16" s="35" t="s">
        <v>86</v>
      </c>
      <c r="F16" s="24">
        <v>16.5</v>
      </c>
      <c r="G16" s="24">
        <v>90</v>
      </c>
      <c r="H16" s="3" t="s">
        <v>35</v>
      </c>
      <c r="I16" s="3" t="s">
        <v>58</v>
      </c>
      <c r="J16" s="24">
        <v>10.8</v>
      </c>
      <c r="K16" s="3">
        <v>8</v>
      </c>
      <c r="L16" s="24" t="s">
        <v>78</v>
      </c>
      <c r="M16" s="24">
        <v>15.1</v>
      </c>
      <c r="N16" s="35"/>
      <c r="O16" s="24"/>
    </row>
    <row r="17" spans="1:15" ht="15.75" customHeight="1" x14ac:dyDescent="0.25">
      <c r="A17" s="1">
        <v>43475</v>
      </c>
      <c r="B17" s="2" t="s">
        <v>26</v>
      </c>
      <c r="C17" s="25" t="s">
        <v>90</v>
      </c>
      <c r="D17" s="35" t="s">
        <v>80</v>
      </c>
      <c r="E17" s="35" t="s">
        <v>80</v>
      </c>
      <c r="F17" s="24" t="s">
        <v>116</v>
      </c>
      <c r="G17" s="24">
        <v>75</v>
      </c>
      <c r="H17" s="3" t="s">
        <v>35</v>
      </c>
      <c r="I17" s="3" t="s">
        <v>56</v>
      </c>
      <c r="J17" s="24">
        <v>5.8</v>
      </c>
      <c r="K17" s="3">
        <v>8</v>
      </c>
      <c r="L17" s="24">
        <v>1010.1</v>
      </c>
      <c r="M17" s="24">
        <v>25.2</v>
      </c>
      <c r="N17" s="35"/>
      <c r="O17" s="24"/>
    </row>
    <row r="18" spans="1:15" ht="15.75" customHeight="1" x14ac:dyDescent="0.25">
      <c r="A18" s="1">
        <v>43476</v>
      </c>
      <c r="B18" s="1" t="s">
        <v>21</v>
      </c>
      <c r="C18" s="25" t="s">
        <v>90</v>
      </c>
      <c r="D18" s="35" t="s">
        <v>84</v>
      </c>
      <c r="E18" s="35" t="s">
        <v>87</v>
      </c>
      <c r="F18" s="24" t="s">
        <v>114</v>
      </c>
      <c r="G18" s="24">
        <v>81</v>
      </c>
      <c r="H18" s="3" t="s">
        <v>35</v>
      </c>
      <c r="I18" s="3" t="s">
        <v>56</v>
      </c>
      <c r="J18" s="24">
        <v>7.2</v>
      </c>
      <c r="K18" s="3">
        <v>7</v>
      </c>
      <c r="L18" s="24" t="s">
        <v>78</v>
      </c>
      <c r="M18" s="24">
        <v>18.5</v>
      </c>
      <c r="N18" s="35"/>
      <c r="O18" s="24"/>
    </row>
    <row r="19" spans="1:15" ht="15.75" customHeight="1" x14ac:dyDescent="0.25">
      <c r="A19" s="1">
        <v>43479</v>
      </c>
      <c r="B19" s="1" t="s">
        <v>22</v>
      </c>
      <c r="C19" s="25" t="s">
        <v>90</v>
      </c>
      <c r="D19" s="35" t="s">
        <v>80</v>
      </c>
      <c r="E19" s="35" t="s">
        <v>84</v>
      </c>
      <c r="F19" s="24">
        <v>23.4</v>
      </c>
      <c r="G19" s="24">
        <v>92</v>
      </c>
      <c r="H19" s="3" t="s">
        <v>35</v>
      </c>
      <c r="I19" s="3" t="s">
        <v>73</v>
      </c>
      <c r="J19" s="24">
        <v>3.6</v>
      </c>
      <c r="K19" s="3">
        <v>8</v>
      </c>
      <c r="L19" s="24" t="s">
        <v>78</v>
      </c>
      <c r="M19" s="24" t="s">
        <v>114</v>
      </c>
      <c r="N19" s="35"/>
    </row>
    <row r="20" spans="1:15" ht="15.75" customHeight="1" x14ac:dyDescent="0.25">
      <c r="A20" s="1">
        <v>43486</v>
      </c>
      <c r="B20" s="2" t="s">
        <v>23</v>
      </c>
      <c r="C20" s="25" t="s">
        <v>90</v>
      </c>
      <c r="D20" s="35" t="s">
        <v>89</v>
      </c>
      <c r="E20" s="35" t="s">
        <v>112</v>
      </c>
      <c r="F20" s="24">
        <v>25.5</v>
      </c>
      <c r="G20" s="24">
        <v>91</v>
      </c>
      <c r="H20" s="3" t="s">
        <v>33</v>
      </c>
      <c r="I20" s="3" t="s">
        <v>61</v>
      </c>
      <c r="J20" s="24">
        <v>2.2000000000000002</v>
      </c>
      <c r="K20" s="3">
        <v>8</v>
      </c>
      <c r="L20" s="24">
        <v>1011.4</v>
      </c>
      <c r="M20" s="24">
        <v>23.9</v>
      </c>
      <c r="N20" s="35"/>
    </row>
    <row r="21" spans="1:15" ht="15.75" customHeight="1" x14ac:dyDescent="0.25">
      <c r="A21" s="1">
        <v>43495</v>
      </c>
      <c r="B21" s="2" t="s">
        <v>24</v>
      </c>
      <c r="C21" s="25" t="s">
        <v>90</v>
      </c>
      <c r="D21" s="35" t="s">
        <v>102</v>
      </c>
      <c r="E21" s="35" t="s">
        <v>113</v>
      </c>
      <c r="F21" s="24" t="s">
        <v>88</v>
      </c>
      <c r="G21" s="24">
        <v>89</v>
      </c>
      <c r="H21" s="3" t="s">
        <v>45</v>
      </c>
      <c r="I21" s="3" t="s">
        <v>56</v>
      </c>
      <c r="J21" s="24" t="s">
        <v>119</v>
      </c>
      <c r="K21" s="3">
        <v>8</v>
      </c>
      <c r="L21" s="24">
        <v>1012.1</v>
      </c>
      <c r="M21" s="24" t="s">
        <v>81</v>
      </c>
      <c r="N21" s="35"/>
    </row>
    <row r="22" spans="1:15" ht="15.75" customHeight="1" x14ac:dyDescent="0.25">
      <c r="A22" s="1">
        <v>43497</v>
      </c>
      <c r="B22" s="2" t="s">
        <v>25</v>
      </c>
      <c r="C22" s="25" t="s">
        <v>90</v>
      </c>
      <c r="D22" s="35" t="s">
        <v>85</v>
      </c>
      <c r="E22" s="35" t="s">
        <v>89</v>
      </c>
      <c r="F22" s="24">
        <v>26.7</v>
      </c>
      <c r="G22" s="24">
        <v>93</v>
      </c>
      <c r="H22" s="3" t="s">
        <v>45</v>
      </c>
      <c r="I22" s="3" t="s">
        <v>55</v>
      </c>
      <c r="J22" s="24">
        <v>18.7</v>
      </c>
      <c r="K22" s="3">
        <v>7</v>
      </c>
      <c r="L22" s="24">
        <v>1011.6</v>
      </c>
      <c r="M22" s="24">
        <v>25.7</v>
      </c>
      <c r="N22" s="35"/>
    </row>
    <row r="23" spans="1:15" ht="15.75" customHeight="1" x14ac:dyDescent="0.25">
      <c r="A23" s="1">
        <v>330601</v>
      </c>
      <c r="B23" s="2" t="s">
        <v>27</v>
      </c>
      <c r="C23" s="25" t="s">
        <v>90</v>
      </c>
      <c r="D23" s="35" t="s">
        <v>84</v>
      </c>
      <c r="E23" s="35" t="s">
        <v>84</v>
      </c>
      <c r="F23" s="24">
        <v>27.4</v>
      </c>
      <c r="G23" s="24">
        <v>83</v>
      </c>
      <c r="H23" s="3" t="s">
        <v>45</v>
      </c>
      <c r="I23" s="3" t="s">
        <v>55</v>
      </c>
      <c r="J23" s="24">
        <v>24.8</v>
      </c>
      <c r="K23" s="3">
        <v>8</v>
      </c>
      <c r="L23" s="24">
        <v>1012.2</v>
      </c>
      <c r="M23" s="24">
        <v>24.2</v>
      </c>
      <c r="N23" s="35"/>
      <c r="O23" s="24"/>
    </row>
    <row r="24" spans="1:15" ht="15.75" customHeight="1" x14ac:dyDescent="0.25">
      <c r="A24" s="1">
        <v>721501</v>
      </c>
      <c r="B24" s="1" t="s">
        <v>29</v>
      </c>
      <c r="C24" s="25" t="s">
        <v>90</v>
      </c>
      <c r="D24" s="35" t="s">
        <v>103</v>
      </c>
      <c r="E24" s="35" t="s">
        <v>103</v>
      </c>
      <c r="F24" s="24">
        <v>27.4</v>
      </c>
      <c r="G24" s="24">
        <v>88</v>
      </c>
      <c r="H24" s="3" t="s">
        <v>45</v>
      </c>
      <c r="I24" s="3" t="s">
        <v>66</v>
      </c>
      <c r="J24" s="24" t="s">
        <v>80</v>
      </c>
      <c r="K24" s="3">
        <v>8</v>
      </c>
      <c r="L24" s="24">
        <v>1010.3</v>
      </c>
      <c r="M24" s="24">
        <v>25.3</v>
      </c>
      <c r="N24" s="35"/>
      <c r="O24" s="24"/>
    </row>
    <row r="25" spans="1:15" ht="15.75" customHeight="1" x14ac:dyDescent="0.25">
      <c r="A25" s="1">
        <v>821501</v>
      </c>
      <c r="B25" s="1" t="s">
        <v>28</v>
      </c>
      <c r="C25" s="25" t="s">
        <v>90</v>
      </c>
      <c r="D25" s="35" t="s">
        <v>80</v>
      </c>
      <c r="E25" s="35" t="s">
        <v>80</v>
      </c>
      <c r="F25" s="24">
        <v>27.8</v>
      </c>
      <c r="G25" s="24">
        <v>74</v>
      </c>
      <c r="H25" s="3" t="s">
        <v>35</v>
      </c>
      <c r="I25" s="3" t="s">
        <v>55</v>
      </c>
      <c r="J25" s="24">
        <v>2.2000000000000002</v>
      </c>
      <c r="K25" s="3">
        <v>7</v>
      </c>
      <c r="L25" s="24">
        <v>1011.6</v>
      </c>
      <c r="M25" s="24">
        <v>22.8</v>
      </c>
      <c r="N25" s="35"/>
      <c r="O25" s="24"/>
    </row>
    <row r="28" spans="1:15" ht="15.75" customHeight="1" x14ac:dyDescent="0.25">
      <c r="D28" s="35"/>
      <c r="E28" s="35"/>
      <c r="F28" s="35"/>
      <c r="G28" s="35"/>
      <c r="H28" s="35"/>
      <c r="I28" s="35"/>
      <c r="J28" s="35"/>
      <c r="K28" s="35"/>
      <c r="L28" s="35"/>
      <c r="M28" s="35"/>
    </row>
    <row r="29" spans="1:15" ht="15.75" customHeight="1" x14ac:dyDescent="0.25">
      <c r="D29" s="35"/>
      <c r="E29" s="35"/>
      <c r="F29" s="35"/>
      <c r="G29" s="35"/>
      <c r="H29" s="35"/>
      <c r="I29" s="35"/>
      <c r="J29" s="35"/>
      <c r="K29" s="35"/>
      <c r="L29" s="35"/>
      <c r="M29" s="35"/>
    </row>
    <row r="30" spans="1:15" ht="15.75" customHeight="1" x14ac:dyDescent="0.25">
      <c r="D30" s="35"/>
      <c r="E30" s="35"/>
      <c r="F30" s="35"/>
      <c r="G30" s="35"/>
      <c r="H30" s="35"/>
      <c r="I30" s="35"/>
      <c r="J30" s="35"/>
      <c r="K30" s="35"/>
      <c r="L30" s="35"/>
      <c r="M30" s="35"/>
    </row>
    <row r="31" spans="1:15" ht="15.75" customHeight="1" x14ac:dyDescent="0.25">
      <c r="D31" s="35"/>
      <c r="E31" s="35"/>
      <c r="F31" s="35"/>
      <c r="G31" s="35"/>
      <c r="H31" s="35"/>
      <c r="I31" s="35"/>
      <c r="J31" s="35"/>
      <c r="K31" s="35"/>
      <c r="L31" s="35"/>
      <c r="M31" s="35"/>
    </row>
    <row r="32" spans="1:15" ht="15.75" customHeight="1" x14ac:dyDescent="0.25">
      <c r="D32" s="35"/>
      <c r="E32" s="35"/>
      <c r="F32" s="35"/>
      <c r="G32" s="35"/>
      <c r="H32" s="35"/>
      <c r="I32" s="35"/>
      <c r="J32" s="35"/>
      <c r="K32" s="35"/>
      <c r="L32" s="35"/>
      <c r="M32" s="35"/>
    </row>
    <row r="33" spans="4:13" ht="15.75" customHeight="1" x14ac:dyDescent="0.25">
      <c r="D33" s="35"/>
      <c r="E33" s="35"/>
      <c r="F33" s="35"/>
      <c r="G33" s="35"/>
      <c r="H33" s="35"/>
      <c r="I33" s="35"/>
      <c r="J33" s="35"/>
      <c r="K33" s="35"/>
      <c r="L33" s="35"/>
      <c r="M33" s="35"/>
    </row>
    <row r="34" spans="4:13" ht="15.75" customHeight="1" x14ac:dyDescent="0.25">
      <c r="D34" s="35"/>
      <c r="E34" s="35"/>
      <c r="F34" s="35"/>
      <c r="G34" s="35"/>
      <c r="H34" s="35"/>
      <c r="I34" s="35"/>
      <c r="J34" s="35"/>
      <c r="K34" s="35"/>
      <c r="L34" s="35"/>
      <c r="M34" s="35"/>
    </row>
    <row r="35" spans="4:13" ht="15.75" customHeight="1" x14ac:dyDescent="0.25"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4:13" ht="15.75" customHeight="1" x14ac:dyDescent="0.25">
      <c r="D36" s="35"/>
      <c r="E36" s="35"/>
      <c r="F36" s="35"/>
      <c r="G36" s="35"/>
      <c r="H36" s="35"/>
      <c r="I36" s="35"/>
      <c r="J36" s="35"/>
      <c r="K36" s="35"/>
      <c r="L36" s="35"/>
      <c r="M36" s="35"/>
    </row>
    <row r="37" spans="4:13" ht="15.75" customHeight="1" x14ac:dyDescent="0.25">
      <c r="D37" s="35"/>
      <c r="E37" s="35"/>
      <c r="F37" s="35"/>
      <c r="G37" s="35"/>
      <c r="H37" s="35"/>
      <c r="I37" s="35"/>
      <c r="J37" s="35"/>
      <c r="K37" s="35"/>
      <c r="L37" s="35"/>
      <c r="M37" s="35"/>
    </row>
    <row r="38" spans="4:13" ht="15.75" customHeight="1" x14ac:dyDescent="0.25">
      <c r="D38" s="35"/>
      <c r="E38" s="35"/>
      <c r="F38" s="35"/>
      <c r="G38" s="35"/>
      <c r="H38" s="35"/>
      <c r="I38" s="35"/>
      <c r="J38" s="35"/>
      <c r="K38" s="35"/>
      <c r="L38" s="35"/>
      <c r="M38" s="35"/>
    </row>
    <row r="39" spans="4:13" ht="15.75" customHeight="1" x14ac:dyDescent="0.25">
      <c r="D39" s="35"/>
      <c r="E39" s="35"/>
      <c r="F39" s="35"/>
      <c r="G39" s="35"/>
      <c r="H39" s="35"/>
      <c r="I39" s="35"/>
      <c r="J39" s="35"/>
      <c r="K39" s="35"/>
      <c r="L39" s="35"/>
      <c r="M39" s="35"/>
    </row>
    <row r="40" spans="4:13" ht="15.75" customHeight="1" x14ac:dyDescent="0.25">
      <c r="D40" s="35"/>
      <c r="E40" s="35"/>
      <c r="F40" s="35"/>
      <c r="G40" s="35"/>
      <c r="H40" s="35"/>
      <c r="I40" s="35"/>
      <c r="J40" s="35"/>
      <c r="K40" s="35"/>
      <c r="L40" s="35"/>
      <c r="M40" s="35"/>
    </row>
    <row r="41" spans="4:13" ht="15.75" customHeight="1" x14ac:dyDescent="0.25">
      <c r="D41" s="35"/>
      <c r="E41" s="35"/>
      <c r="F41" s="35"/>
      <c r="G41" s="35"/>
      <c r="H41" s="35"/>
      <c r="I41" s="35"/>
      <c r="J41" s="35"/>
      <c r="K41" s="35"/>
      <c r="L41" s="35"/>
      <c r="M41" s="35"/>
    </row>
    <row r="42" spans="4:13" ht="15.75" customHeight="1" x14ac:dyDescent="0.25">
      <c r="D42" s="35"/>
      <c r="E42" s="35"/>
      <c r="F42" s="35"/>
      <c r="G42" s="35"/>
      <c r="H42" s="35"/>
      <c r="I42" s="35"/>
      <c r="J42" s="35"/>
      <c r="K42" s="35"/>
      <c r="L42" s="35"/>
      <c r="M42" s="35"/>
    </row>
    <row r="43" spans="4:13" ht="15.75" customHeight="1" x14ac:dyDescent="0.25">
      <c r="D43" s="35"/>
      <c r="E43" s="35"/>
      <c r="F43" s="35"/>
      <c r="G43" s="35"/>
      <c r="H43" s="35"/>
      <c r="I43" s="35"/>
      <c r="J43" s="35"/>
      <c r="K43" s="35"/>
      <c r="L43" s="35"/>
      <c r="M43" s="35"/>
    </row>
    <row r="44" spans="4:13" ht="15.75" customHeight="1" x14ac:dyDescent="0.25">
      <c r="D44" s="35"/>
      <c r="E44" s="35"/>
      <c r="F44" s="35"/>
      <c r="G44" s="35"/>
      <c r="H44" s="35"/>
      <c r="I44" s="35"/>
      <c r="J44" s="35"/>
      <c r="K44" s="35"/>
      <c r="L44" s="35"/>
      <c r="M44" s="35"/>
    </row>
    <row r="45" spans="4:13" ht="15.75" customHeight="1" x14ac:dyDescent="0.25">
      <c r="D45" s="35"/>
      <c r="E45" s="35"/>
      <c r="F45" s="35"/>
      <c r="G45" s="35"/>
      <c r="H45" s="35"/>
      <c r="I45" s="35"/>
      <c r="J45" s="35"/>
      <c r="K45" s="35"/>
      <c r="L45" s="35"/>
      <c r="M45" s="35"/>
    </row>
    <row r="46" spans="4:13" ht="15.75" customHeight="1" x14ac:dyDescent="0.25">
      <c r="D46" s="35"/>
      <c r="E46" s="35"/>
      <c r="F46" s="35"/>
      <c r="G46" s="35"/>
      <c r="H46" s="35"/>
      <c r="I46" s="35"/>
      <c r="J46" s="35"/>
      <c r="K46" s="35"/>
      <c r="L46" s="35"/>
      <c r="M46" s="35"/>
    </row>
    <row r="47" spans="4:13" ht="15.75" customHeight="1" x14ac:dyDescent="0.25">
      <c r="D47" s="35"/>
      <c r="E47" s="35"/>
      <c r="F47" s="35"/>
      <c r="G47" s="35"/>
      <c r="H47" s="35"/>
      <c r="I47" s="35"/>
      <c r="J47" s="35"/>
      <c r="K47" s="35"/>
      <c r="L47" s="35"/>
      <c r="M47" s="35"/>
    </row>
    <row r="48" spans="4:13" ht="15.75" customHeight="1" x14ac:dyDescent="0.25">
      <c r="D48" s="35"/>
      <c r="E48" s="35"/>
      <c r="F48" s="35"/>
      <c r="G48" s="35"/>
      <c r="H48" s="35"/>
      <c r="I48" s="35"/>
      <c r="J48" s="35"/>
      <c r="K48" s="35"/>
      <c r="L48" s="35"/>
      <c r="M48" s="35"/>
    </row>
    <row r="49" spans="4:13" ht="15.75" customHeight="1" x14ac:dyDescent="0.25">
      <c r="D49" s="35"/>
      <c r="E49" s="35"/>
      <c r="F49" s="35"/>
      <c r="G49" s="35"/>
      <c r="H49" s="35"/>
      <c r="I49" s="35"/>
      <c r="J49" s="35"/>
      <c r="K49" s="35"/>
      <c r="L49" s="35"/>
      <c r="M49" s="35"/>
    </row>
    <row r="50" spans="4:13" ht="15.75" customHeight="1" x14ac:dyDescent="0.25">
      <c r="D50" s="35"/>
      <c r="E50" s="35"/>
      <c r="F50" s="35"/>
      <c r="G50" s="35"/>
      <c r="H50" s="35"/>
      <c r="I50" s="35"/>
      <c r="J50" s="35"/>
      <c r="K50" s="35"/>
      <c r="L50" s="35"/>
      <c r="M50" s="35"/>
    </row>
    <row r="51" spans="4:13" ht="15.75" customHeight="1" x14ac:dyDescent="0.25">
      <c r="D51" s="35"/>
      <c r="E51" s="35"/>
      <c r="F51" s="35"/>
      <c r="G51" s="35"/>
      <c r="H51" s="35"/>
      <c r="I51" s="35"/>
      <c r="J51" s="35"/>
      <c r="K51" s="35"/>
      <c r="L51" s="35"/>
      <c r="M51" s="35"/>
    </row>
  </sheetData>
  <sortState xmlns:xlrd2="http://schemas.microsoft.com/office/spreadsheetml/2017/richdata2" ref="A2:O51">
    <sortCondition ref="A2:A51"/>
  </sortState>
  <phoneticPr fontId="2" type="noConversion"/>
  <dataValidations count="1">
    <dataValidation type="list" allowBlank="1" showInputMessage="1" showErrorMessage="1" sqref="H28:H51 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Sheet4!$Q$1:$Q$18</xm:f>
          </x14:formula1>
          <xm:sqref>I35:I51 I28:I32 I1:I6 I9:I25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75</v>
      </c>
      <c r="D2">
        <v>5</v>
      </c>
      <c r="E2" s="3" t="str">
        <f>VLOOKUP(D2,$G$1:$H$19,2,FALSE)</f>
        <v>cloudy</v>
      </c>
      <c r="F2" s="3" t="str">
        <f>Sheet4!L1</f>
        <v>ENE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360</v>
      </c>
      <c r="D3">
        <v>12</v>
      </c>
      <c r="E3" s="3" t="str">
        <f t="shared" ref="E3:E25" si="1">VLOOKUP(D3,$G$1:$H$19,2,FALSE)</f>
        <v>thundershowers</v>
      </c>
      <c r="F3" s="3" t="str">
        <f>Sheet4!L2</f>
        <v>N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108</v>
      </c>
      <c r="D4">
        <v>5</v>
      </c>
      <c r="E4" s="3" t="str">
        <f t="shared" si="1"/>
        <v>cloudy</v>
      </c>
      <c r="F4" s="3" t="str">
        <f>Sheet4!L3</f>
        <v>ESE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5</v>
      </c>
      <c r="E5" s="3" t="str">
        <f t="shared" si="1"/>
        <v>cloudy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290</v>
      </c>
      <c r="D6">
        <v>12</v>
      </c>
      <c r="E6" s="3" t="str">
        <f t="shared" si="1"/>
        <v>thundershowers</v>
      </c>
      <c r="F6" s="3" t="str">
        <f>Sheet4!L5</f>
        <v>WNW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34</v>
      </c>
      <c r="D7">
        <v>11</v>
      </c>
      <c r="E7" s="3" t="str">
        <f t="shared" si="1"/>
        <v>showers</v>
      </c>
      <c r="F7" s="3" t="str">
        <f>Sheet4!L6</f>
        <v>NNE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272</v>
      </c>
      <c r="D8">
        <v>5</v>
      </c>
      <c r="E8" s="3" t="str">
        <f t="shared" si="1"/>
        <v>cloudy</v>
      </c>
      <c r="F8" s="3" t="str">
        <f>Sheet4!L7</f>
        <v>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230</v>
      </c>
      <c r="D9">
        <v>5</v>
      </c>
      <c r="E9" s="3" t="str">
        <f t="shared" si="1"/>
        <v>cloudy</v>
      </c>
      <c r="F9" s="3" t="str">
        <f>Sheet4!L8</f>
        <v>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12</v>
      </c>
      <c r="E10" s="3" t="str">
        <f t="shared" si="1"/>
        <v>thundershowers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180</v>
      </c>
      <c r="D11">
        <v>4</v>
      </c>
      <c r="E11" s="3" t="str">
        <f t="shared" si="1"/>
        <v>drizzling</v>
      </c>
      <c r="F11" s="3" t="str">
        <f>Sheet4!L10</f>
        <v>S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360</v>
      </c>
      <c r="D12">
        <v>11</v>
      </c>
      <c r="E12" s="3" t="str">
        <f t="shared" si="1"/>
        <v>showers</v>
      </c>
      <c r="F12" s="3" t="str">
        <f>Sheet4!L11</f>
        <v>N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124</v>
      </c>
      <c r="D13">
        <v>7</v>
      </c>
      <c r="E13" s="3" t="str">
        <f t="shared" si="1"/>
        <v>mist</v>
      </c>
      <c r="F13" s="3" t="str">
        <f>Sheet4!L12</f>
        <v>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153</v>
      </c>
      <c r="D14">
        <v>5</v>
      </c>
      <c r="E14" s="3" t="str">
        <f t="shared" si="1"/>
        <v>cloudy</v>
      </c>
      <c r="F14" s="3" t="str">
        <f>Sheet4!L13</f>
        <v>SSE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200</v>
      </c>
      <c r="D15">
        <v>4</v>
      </c>
      <c r="E15" s="3" t="str">
        <f t="shared" si="1"/>
        <v>drizzling</v>
      </c>
      <c r="F15" s="3" t="str">
        <f>Sheet4!L14</f>
        <v>SSW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290</v>
      </c>
      <c r="D16">
        <v>5</v>
      </c>
      <c r="E16" s="3" t="str">
        <f t="shared" si="1"/>
        <v>cloudy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210</v>
      </c>
      <c r="D17">
        <v>5</v>
      </c>
      <c r="E17" s="3" t="str">
        <f t="shared" si="1"/>
        <v>cloudy</v>
      </c>
      <c r="F17" s="3" t="str">
        <f>Sheet4!L16</f>
        <v>SSW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210</v>
      </c>
      <c r="D18">
        <v>5</v>
      </c>
      <c r="E18" s="3" t="str">
        <f t="shared" si="1"/>
        <v>cloudy</v>
      </c>
      <c r="F18" s="3" t="str">
        <f>Sheet4!L17</f>
        <v>SSW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357</v>
      </c>
      <c r="D19">
        <v>5</v>
      </c>
      <c r="E19" s="3" t="str">
        <f t="shared" si="1"/>
        <v>cloudy</v>
      </c>
      <c r="F19" s="3" t="str">
        <f>Sheet4!L18</f>
        <v>N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261</v>
      </c>
      <c r="D20">
        <v>9</v>
      </c>
      <c r="E20" s="3" t="str">
        <f t="shared" si="1"/>
        <v>haze</v>
      </c>
      <c r="F20" s="3" t="str">
        <f>Sheet4!L19</f>
        <v>W</v>
      </c>
    </row>
    <row r="21" spans="1:14" x14ac:dyDescent="0.25">
      <c r="A21" s="32">
        <v>43497</v>
      </c>
      <c r="B21" s="34" t="s">
        <v>25</v>
      </c>
      <c r="C21">
        <v>200</v>
      </c>
      <c r="D21">
        <v>11</v>
      </c>
      <c r="E21" s="3" t="str">
        <f t="shared" si="1"/>
        <v>showers</v>
      </c>
      <c r="F21" s="3" t="str">
        <f>Sheet4!L20</f>
        <v>SSW</v>
      </c>
    </row>
    <row r="22" spans="1:14" x14ac:dyDescent="0.25">
      <c r="A22" s="32">
        <v>43475</v>
      </c>
      <c r="B22" s="34" t="s">
        <v>26</v>
      </c>
      <c r="C22">
        <v>228</v>
      </c>
      <c r="D22">
        <v>11</v>
      </c>
      <c r="E22" s="3" t="str">
        <f t="shared" si="1"/>
        <v>showers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230</v>
      </c>
      <c r="D23">
        <v>11</v>
      </c>
      <c r="E23" s="3" t="str">
        <f t="shared" si="1"/>
        <v>showers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0</v>
      </c>
      <c r="D24">
        <v>11</v>
      </c>
      <c r="E24" s="3" t="str">
        <f t="shared" si="1"/>
        <v>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230</v>
      </c>
      <c r="D25">
        <v>5</v>
      </c>
      <c r="E25" s="3" t="str">
        <f t="shared" si="1"/>
        <v>cloudy</v>
      </c>
      <c r="F25" s="3" t="str">
        <f>Sheet4!L24</f>
        <v>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75</v>
      </c>
      <c r="L1" t="str">
        <f>VLOOKUP(K1,A$2:B$363,2,FALSE)</f>
        <v>ENE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360</v>
      </c>
      <c r="L2" t="str">
        <f t="shared" ref="L2:L24" si="0">VLOOKUP(K2,A$2:B$363,2,FALSE)</f>
        <v>N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108</v>
      </c>
      <c r="L3" t="str">
        <f t="shared" si="0"/>
        <v>ESE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290</v>
      </c>
      <c r="L5" t="str">
        <f t="shared" si="0"/>
        <v>WNW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34</v>
      </c>
      <c r="L6" t="str">
        <f t="shared" si="0"/>
        <v>NNE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272</v>
      </c>
      <c r="L7" t="str">
        <f t="shared" si="0"/>
        <v>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360</v>
      </c>
      <c r="L11" t="str">
        <f t="shared" si="0"/>
        <v>N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124</v>
      </c>
      <c r="L12" t="str">
        <f t="shared" si="0"/>
        <v>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153</v>
      </c>
      <c r="L13" t="str">
        <f t="shared" si="0"/>
        <v>SSE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200</v>
      </c>
      <c r="L14" t="str">
        <f t="shared" si="0"/>
        <v>SSW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290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210</v>
      </c>
      <c r="L16" t="str">
        <f t="shared" si="0"/>
        <v>SSW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210</v>
      </c>
      <c r="L17" t="str">
        <f t="shared" si="0"/>
        <v>SSW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357</v>
      </c>
      <c r="L18" t="str">
        <f t="shared" si="0"/>
        <v>N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261</v>
      </c>
      <c r="L19" t="str">
        <f t="shared" si="0"/>
        <v>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200</v>
      </c>
      <c r="L20" t="str">
        <f t="shared" si="0"/>
        <v>SSW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228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2026-10-22T12:27:50Z</dcterms:modified>
</cp:coreProperties>
</file>