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1.114\Data\3 HOURLY\2026\5-May\"/>
    </mc:Choice>
  </mc:AlternateContent>
  <xr:revisionPtr revIDLastSave="0" documentId="13_ncr:1_{E9A11915-EDD4-41DC-A52F-3DAF9DED85F7}" xr6:coauthVersionLast="47" xr6:coauthVersionMax="47" xr10:uidLastSave="{00000000-0000-0000-0000-000000000000}"/>
  <bookViews>
    <workbookView xWindow="-120" yWindow="-120" windowWidth="29040" windowHeight="15720" tabRatio="601" xr2:uid="{00000000-000D-0000-FFFF-FFFF00000000}"/>
  </bookViews>
  <sheets>
    <sheet name="Sheet1" sheetId="1" r:id="rId1"/>
    <sheet name="Sheet2" sheetId="2" r:id="rId2"/>
    <sheet name="Sheet3" sheetId="3" state="hidden" r:id="rId3"/>
  </sheets>
  <definedNames>
    <definedName name="_xlnm._FilterDatabase" localSheetId="0" hidden="1">Sheet1!$A$7:$K$25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2" i="2" l="1"/>
  <c r="D3" i="2"/>
  <c r="D4" i="2"/>
  <c r="D5" i="2"/>
  <c r="D6" i="2"/>
  <c r="D7" i="2"/>
  <c r="D8" i="2"/>
  <c r="D9" i="2"/>
  <c r="D10" i="2"/>
  <c r="D11" i="2"/>
  <c r="D12" i="2"/>
  <c r="D13" i="2"/>
  <c r="D14" i="2"/>
  <c r="D15" i="2"/>
  <c r="D16" i="2"/>
  <c r="D17" i="2"/>
  <c r="D18" i="2"/>
  <c r="D19" i="2"/>
  <c r="D20" i="2"/>
  <c r="D21" i="2"/>
  <c r="D22" i="2"/>
  <c r="D23" i="2"/>
  <c r="D24" i="2"/>
  <c r="D25" i="2"/>
  <c r="L17" i="2" l="1"/>
  <c r="L16" i="2"/>
  <c r="L15" i="2"/>
  <c r="L14" i="2"/>
  <c r="L13" i="2"/>
  <c r="L12" i="2"/>
  <c r="L11" i="2"/>
  <c r="L10" i="2"/>
  <c r="L9" i="2"/>
  <c r="L8" i="2"/>
  <c r="L7" i="2"/>
  <c r="L6" i="2"/>
  <c r="L5" i="2"/>
  <c r="L4" i="2"/>
  <c r="L3" i="2"/>
  <c r="L2" i="2"/>
  <c r="L1" i="2"/>
</calcChain>
</file>

<file path=xl/sharedStrings.xml><?xml version="1.0" encoding="utf-8"?>
<sst xmlns="http://schemas.openxmlformats.org/spreadsheetml/2006/main" count="198" uniqueCount="57">
  <si>
    <t>Station_ID</t>
  </si>
  <si>
    <t>Station_Name</t>
  </si>
  <si>
    <t>Report_Time</t>
  </si>
  <si>
    <t>Rainfall (mm)</t>
  </si>
  <si>
    <t>Temperature ( C )</t>
  </si>
  <si>
    <t>RH (%)</t>
  </si>
  <si>
    <t>weathertype</t>
  </si>
  <si>
    <t xml:space="preserve"> JAFFNA</t>
  </si>
  <si>
    <t>MULLATIVU</t>
  </si>
  <si>
    <t>MANNAR</t>
  </si>
  <si>
    <t>VAVUNIYA</t>
  </si>
  <si>
    <t>TRINCOMALEE</t>
  </si>
  <si>
    <t>ANURADHAPURA</t>
  </si>
  <si>
    <t>MAHA ILLUPPALLAMA</t>
  </si>
  <si>
    <t>PUTTALAM</t>
  </si>
  <si>
    <t>BATTICALOA</t>
  </si>
  <si>
    <t>KURUNEGALA</t>
  </si>
  <si>
    <t>KATUNAYAKE</t>
  </si>
  <si>
    <t>COLOMBO</t>
  </si>
  <si>
    <t>RATMALANA</t>
  </si>
  <si>
    <t xml:space="preserve"> NUWARA ELIYA</t>
  </si>
  <si>
    <t>BANDARAWELA</t>
  </si>
  <si>
    <t>BADULLA</t>
  </si>
  <si>
    <t>RATNAPURA</t>
  </si>
  <si>
    <t>GALLE</t>
  </si>
  <si>
    <t>HAMBANTOTA</t>
  </si>
  <si>
    <t>POTTUVIL</t>
  </si>
  <si>
    <t>MATTALA</t>
  </si>
  <si>
    <t>MONARAGALA</t>
  </si>
  <si>
    <t>POLONNARUWA</t>
  </si>
  <si>
    <t>KATUGASTOTA</t>
  </si>
  <si>
    <t>Tot RF since 830am</t>
  </si>
  <si>
    <t>fairday</t>
  </si>
  <si>
    <t>haze</t>
  </si>
  <si>
    <t>partlycloudy</t>
  </si>
  <si>
    <t>cloudy</t>
  </si>
  <si>
    <t>partlycloudynight</t>
  </si>
  <si>
    <t>drizzling</t>
  </si>
  <si>
    <t>fairnight</t>
  </si>
  <si>
    <t>fog</t>
  </si>
  <si>
    <t>hazenight</t>
  </si>
  <si>
    <t>thundershowers</t>
  </si>
  <si>
    <t>lightning</t>
  </si>
  <si>
    <t>mist</t>
  </si>
  <si>
    <t>rain</t>
  </si>
  <si>
    <t>showers</t>
  </si>
  <si>
    <t>smoke</t>
  </si>
  <si>
    <t>thunderstorms</t>
  </si>
  <si>
    <t>Weather_type</t>
  </si>
  <si>
    <t>Code</t>
  </si>
  <si>
    <t>fognight</t>
  </si>
  <si>
    <t>0.0</t>
  </si>
  <si>
    <t>28.0</t>
  </si>
  <si>
    <t>29.0</t>
  </si>
  <si>
    <t>2026-05-08 0830</t>
  </si>
  <si>
    <t>Trace</t>
  </si>
  <si>
    <t>30.0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</si>
</sst>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0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6C6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66FF"/>
        <bgColor indexed="64"/>
      </patternFill>
    </fill>
    <fill>
      <patternFill patternType="solid">
        <fgColor rgb="FF975CCB"/>
        <bgColor indexed="64"/>
      </patternFill>
    </fill>
    <fill>
      <patternFill patternType="solid">
        <fgColor rgb="FF6373BA"/>
        <bgColor indexed="64"/>
      </patternFill>
    </fill>
    <fill>
      <patternFill patternType="solid">
        <fgColor rgb="FF7CEB99"/>
        <bgColor indexed="64"/>
      </patternFill>
    </fill>
    <fill>
      <patternFill patternType="solid">
        <fgColor rgb="FF29B95C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5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3" fillId="0" borderId="0" xfId="0" applyFont="1"/>
    <xf numFmtId="0" fontId="3" fillId="0" borderId="0" xfId="0" applyFont="1" applyAlignment="1">
      <alignment horizontal="center" vertical="center"/>
    </xf>
    <xf numFmtId="0" fontId="3" fillId="2" borderId="1" xfId="0" applyFont="1" applyFill="1" applyBorder="1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0" fontId="0" fillId="3" borderId="1" xfId="0" applyFill="1" applyBorder="1" applyAlignment="1" applyProtection="1">
      <alignment horizontal="center" vertical="center"/>
      <protection locked="0" hidden="1"/>
    </xf>
    <xf numFmtId="0" fontId="0" fillId="3" borderId="1" xfId="0" applyFill="1" applyBorder="1" applyAlignment="1" applyProtection="1">
      <alignment horizontal="center"/>
      <protection locked="0" hidden="1"/>
    </xf>
    <xf numFmtId="0" fontId="1" fillId="3" borderId="1" xfId="0" applyFont="1" applyFill="1" applyBorder="1" applyAlignment="1" applyProtection="1">
      <alignment horizontal="center" vertical="center"/>
      <protection locked="0" hidden="1"/>
    </xf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8" borderId="0" xfId="0" applyFill="1"/>
    <xf numFmtId="0" fontId="0" fillId="9" borderId="0" xfId="0" applyFill="1"/>
    <xf numFmtId="0" fontId="0" fillId="10" borderId="0" xfId="0" applyFill="1"/>
    <xf numFmtId="0" fontId="0" fillId="11" borderId="0" xfId="0" applyFill="1"/>
    <xf numFmtId="0" fontId="0" fillId="12" borderId="0" xfId="0" applyFill="1"/>
    <xf numFmtId="0" fontId="0" fillId="13" borderId="0" xfId="0" applyFill="1"/>
    <xf numFmtId="0" fontId="0" fillId="14" borderId="0" xfId="0" applyFill="1"/>
    <xf numFmtId="0" fontId="0" fillId="15" borderId="0" xfId="0" applyFill="1"/>
    <xf numFmtId="0" fontId="0" fillId="16" borderId="0" xfId="0" applyFill="1"/>
    <xf numFmtId="0" fontId="0" fillId="17" borderId="0" xfId="0" applyFill="1"/>
    <xf numFmtId="0" fontId="0" fillId="18" borderId="0" xfId="0" applyFill="1"/>
    <xf numFmtId="0" fontId="0" fillId="19" borderId="0" xfId="0" applyFill="1"/>
    <xf numFmtId="49" fontId="0" fillId="0" borderId="0" xfId="0" applyNumberFormat="1"/>
    <xf numFmtId="49" fontId="3" fillId="0" borderId="0" xfId="0" applyNumberFormat="1" applyFont="1" applyAlignment="1">
      <alignment horizontal="center" vertical="center"/>
    </xf>
    <xf numFmtId="0" fontId="0" fillId="0" borderId="0" xfId="0" applyProtection="1">
      <protection locked="0"/>
    </xf>
    <xf numFmtId="49" fontId="0" fillId="0" borderId="0" xfId="0" applyNumberFormat="1" applyAlignment="1">
      <alignment horizontal="center"/>
    </xf>
    <xf numFmtId="0" fontId="3" fillId="0" borderId="1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5"/>
  <sheetViews>
    <sheetView tabSelected="1" zoomScaleNormal="100" workbookViewId="0">
      <selection activeCell="F24" sqref="F24"/>
    </sheetView>
  </sheetViews>
  <sheetFormatPr defaultRowHeight="15" customHeight="1" x14ac:dyDescent="0.25"/>
  <cols>
    <col min="2" max="2" width="19" customWidth="1"/>
    <col min="3" max="4" width="15" customWidth="1"/>
    <col min="5" max="5" width="20" customWidth="1"/>
    <col min="6" max="6" width="20.85546875" style="30" customWidth="1"/>
    <col min="7" max="7" width="11.5703125" customWidth="1"/>
    <col min="8" max="8" width="18" customWidth="1"/>
  </cols>
  <sheetData>
    <row r="1" spans="1:11" ht="15" customHeight="1" x14ac:dyDescent="0.25">
      <c r="A1" s="4" t="s">
        <v>0</v>
      </c>
      <c r="B1" s="4" t="s">
        <v>1</v>
      </c>
      <c r="C1" s="4" t="s">
        <v>2</v>
      </c>
      <c r="D1" s="5" t="s">
        <v>3</v>
      </c>
      <c r="E1" s="5" t="s">
        <v>31</v>
      </c>
      <c r="F1" s="31" t="s">
        <v>4</v>
      </c>
      <c r="G1" s="5" t="s">
        <v>5</v>
      </c>
      <c r="H1" s="34" t="s">
        <v>6</v>
      </c>
      <c r="I1" s="30"/>
      <c r="J1" s="30"/>
      <c r="K1" s="30"/>
    </row>
    <row r="2" spans="1:11" ht="15" customHeight="1" x14ac:dyDescent="0.25">
      <c r="A2" s="1">
        <v>43404</v>
      </c>
      <c r="B2" s="1" t="s">
        <v>7</v>
      </c>
      <c r="C2" s="2" t="s">
        <v>54</v>
      </c>
      <c r="D2" s="33" t="s">
        <v>51</v>
      </c>
      <c r="E2" s="33">
        <v>0.3</v>
      </c>
      <c r="F2" s="33">
        <v>29.9</v>
      </c>
      <c r="G2" s="33">
        <v>84</v>
      </c>
      <c r="H2" s="12" t="s">
        <v>34</v>
      </c>
    </row>
    <row r="3" spans="1:11" ht="15" customHeight="1" x14ac:dyDescent="0.25">
      <c r="A3" s="3">
        <v>43410</v>
      </c>
      <c r="B3" s="3" t="s">
        <v>8</v>
      </c>
      <c r="C3" s="2" t="s">
        <v>54</v>
      </c>
      <c r="D3" s="33" t="s">
        <v>51</v>
      </c>
      <c r="E3" s="33">
        <v>7.4</v>
      </c>
      <c r="F3" s="33">
        <v>29.2</v>
      </c>
      <c r="G3" s="33">
        <v>81</v>
      </c>
      <c r="H3" s="12" t="s">
        <v>34</v>
      </c>
    </row>
    <row r="4" spans="1:11" ht="14.25" customHeight="1" x14ac:dyDescent="0.25">
      <c r="A4" s="1">
        <v>43413</v>
      </c>
      <c r="B4" s="2" t="s">
        <v>9</v>
      </c>
      <c r="C4" s="2" t="s">
        <v>54</v>
      </c>
      <c r="D4" s="33" t="s">
        <v>51</v>
      </c>
      <c r="E4" s="33" t="s">
        <v>51</v>
      </c>
      <c r="F4" s="33" t="s">
        <v>56</v>
      </c>
      <c r="G4" s="33">
        <v>79</v>
      </c>
      <c r="H4" s="12" t="s">
        <v>32</v>
      </c>
    </row>
    <row r="5" spans="1:11" ht="15" customHeight="1" x14ac:dyDescent="0.25">
      <c r="A5" s="1">
        <v>43415</v>
      </c>
      <c r="B5" s="1" t="s">
        <v>10</v>
      </c>
      <c r="C5" s="2" t="s">
        <v>54</v>
      </c>
      <c r="D5" s="33" t="s">
        <v>51</v>
      </c>
      <c r="E5" s="33" t="s">
        <v>51</v>
      </c>
      <c r="F5" s="33" t="s">
        <v>53</v>
      </c>
      <c r="G5" s="33">
        <v>82</v>
      </c>
      <c r="H5" s="11" t="s">
        <v>32</v>
      </c>
      <c r="I5" s="30"/>
    </row>
    <row r="6" spans="1:11" ht="15" customHeight="1" x14ac:dyDescent="0.25">
      <c r="A6" s="1">
        <v>43418</v>
      </c>
      <c r="B6" s="2" t="s">
        <v>11</v>
      </c>
      <c r="C6" s="2" t="s">
        <v>54</v>
      </c>
      <c r="D6" s="33" t="s">
        <v>51</v>
      </c>
      <c r="E6" s="33">
        <v>5.3</v>
      </c>
      <c r="F6" s="33" t="s">
        <v>56</v>
      </c>
      <c r="G6" s="33">
        <v>79</v>
      </c>
      <c r="H6" s="12" t="s">
        <v>32</v>
      </c>
    </row>
    <row r="7" spans="1:11" ht="15" customHeight="1" x14ac:dyDescent="0.25">
      <c r="A7" s="1">
        <v>43421</v>
      </c>
      <c r="B7" s="2" t="s">
        <v>12</v>
      </c>
      <c r="C7" s="2" t="s">
        <v>54</v>
      </c>
      <c r="D7" s="33" t="s">
        <v>51</v>
      </c>
      <c r="E7" s="33">
        <v>22.6</v>
      </c>
      <c r="F7" s="33">
        <v>28.7</v>
      </c>
      <c r="G7" s="33">
        <v>85</v>
      </c>
      <c r="H7" s="13" t="s">
        <v>32</v>
      </c>
    </row>
    <row r="8" spans="1:11" ht="15" customHeight="1" x14ac:dyDescent="0.25">
      <c r="A8" s="1">
        <v>43422</v>
      </c>
      <c r="B8" s="1" t="s">
        <v>13</v>
      </c>
      <c r="C8" s="2" t="s">
        <v>54</v>
      </c>
      <c r="D8" s="33" t="s">
        <v>51</v>
      </c>
      <c r="E8" s="33">
        <v>4.0999999999999996</v>
      </c>
      <c r="F8" s="33">
        <v>27.8</v>
      </c>
      <c r="G8" s="33">
        <v>87</v>
      </c>
      <c r="H8" s="11" t="s">
        <v>32</v>
      </c>
    </row>
    <row r="9" spans="1:11" ht="15" customHeight="1" x14ac:dyDescent="0.25">
      <c r="A9" s="1">
        <v>43424</v>
      </c>
      <c r="B9" s="1" t="s">
        <v>14</v>
      </c>
      <c r="C9" s="2" t="s">
        <v>54</v>
      </c>
      <c r="D9" s="33" t="s">
        <v>51</v>
      </c>
      <c r="E9" s="33" t="s">
        <v>51</v>
      </c>
      <c r="F9" s="33">
        <v>28.7</v>
      </c>
      <c r="G9" s="33">
        <v>81</v>
      </c>
      <c r="H9" s="13" t="s">
        <v>34</v>
      </c>
    </row>
    <row r="10" spans="1:11" ht="15" customHeight="1" x14ac:dyDescent="0.25">
      <c r="A10" s="1">
        <v>43436</v>
      </c>
      <c r="B10" s="2" t="s">
        <v>15</v>
      </c>
      <c r="C10" s="2" t="s">
        <v>54</v>
      </c>
      <c r="D10" s="33" t="s">
        <v>51</v>
      </c>
      <c r="E10" s="33" t="s">
        <v>51</v>
      </c>
      <c r="F10" s="33">
        <v>30.4</v>
      </c>
      <c r="G10" s="33">
        <v>78</v>
      </c>
      <c r="H10" s="13" t="s">
        <v>32</v>
      </c>
    </row>
    <row r="11" spans="1:11" ht="15" customHeight="1" x14ac:dyDescent="0.25">
      <c r="A11" s="1">
        <v>43441</v>
      </c>
      <c r="B11" s="2" t="s">
        <v>16</v>
      </c>
      <c r="C11" s="2" t="s">
        <v>54</v>
      </c>
      <c r="D11" s="33" t="s">
        <v>51</v>
      </c>
      <c r="E11" s="33">
        <v>56.3</v>
      </c>
      <c r="F11" s="33" t="s">
        <v>52</v>
      </c>
      <c r="G11" s="33">
        <v>85</v>
      </c>
      <c r="H11" s="11" t="s">
        <v>32</v>
      </c>
    </row>
    <row r="12" spans="1:11" ht="15" customHeight="1" x14ac:dyDescent="0.25">
      <c r="A12" s="1">
        <v>43444</v>
      </c>
      <c r="B12" s="2" t="s">
        <v>30</v>
      </c>
      <c r="C12" s="2" t="s">
        <v>54</v>
      </c>
      <c r="D12" s="33" t="s">
        <v>51</v>
      </c>
      <c r="E12" s="33">
        <v>9.1999999999999993</v>
      </c>
      <c r="F12" s="33">
        <v>24.7</v>
      </c>
      <c r="G12" s="33">
        <v>92</v>
      </c>
      <c r="H12" s="11" t="s">
        <v>32</v>
      </c>
    </row>
    <row r="13" spans="1:11" ht="15" customHeight="1" x14ac:dyDescent="0.25">
      <c r="A13" s="1">
        <v>43450</v>
      </c>
      <c r="B13" s="2" t="s">
        <v>17</v>
      </c>
      <c r="C13" s="2" t="s">
        <v>54</v>
      </c>
      <c r="D13" s="33" t="s">
        <v>51</v>
      </c>
      <c r="E13" s="33" t="s">
        <v>55</v>
      </c>
      <c r="F13" s="33">
        <v>25.1</v>
      </c>
      <c r="G13" s="33">
        <v>79</v>
      </c>
      <c r="H13" s="11" t="s">
        <v>34</v>
      </c>
    </row>
    <row r="14" spans="1:11" ht="15" customHeight="1" x14ac:dyDescent="0.25">
      <c r="A14" s="1">
        <v>43466</v>
      </c>
      <c r="B14" s="2" t="s">
        <v>18</v>
      </c>
      <c r="C14" s="2" t="s">
        <v>54</v>
      </c>
      <c r="D14" s="33" t="s">
        <v>51</v>
      </c>
      <c r="E14" s="33" t="s">
        <v>51</v>
      </c>
      <c r="F14" s="33">
        <v>30.5</v>
      </c>
      <c r="G14" s="33">
        <v>77</v>
      </c>
      <c r="H14" s="13" t="s">
        <v>32</v>
      </c>
    </row>
    <row r="15" spans="1:11" ht="16.5" customHeight="1" x14ac:dyDescent="0.25">
      <c r="A15" s="1">
        <v>43467</v>
      </c>
      <c r="B15" s="2" t="s">
        <v>19</v>
      </c>
      <c r="C15" s="2" t="s">
        <v>54</v>
      </c>
      <c r="D15" s="33" t="s">
        <v>51</v>
      </c>
      <c r="E15" s="33" t="s">
        <v>51</v>
      </c>
      <c r="F15" s="33" t="s">
        <v>56</v>
      </c>
      <c r="G15" s="33">
        <v>75</v>
      </c>
      <c r="H15" s="13" t="s">
        <v>32</v>
      </c>
    </row>
    <row r="16" spans="1:11" ht="15" customHeight="1" x14ac:dyDescent="0.25">
      <c r="A16" s="1">
        <v>43473</v>
      </c>
      <c r="B16" s="2" t="s">
        <v>20</v>
      </c>
      <c r="C16" s="2" t="s">
        <v>54</v>
      </c>
      <c r="D16" s="33" t="s">
        <v>51</v>
      </c>
      <c r="E16" s="33">
        <v>36.6</v>
      </c>
      <c r="F16" s="33">
        <v>18.399999999999999</v>
      </c>
      <c r="G16" s="33">
        <v>86</v>
      </c>
      <c r="H16" s="13" t="s">
        <v>34</v>
      </c>
    </row>
    <row r="17" spans="1:9" ht="15" customHeight="1" x14ac:dyDescent="0.25">
      <c r="A17" s="1">
        <v>43476</v>
      </c>
      <c r="B17" s="1" t="s">
        <v>21</v>
      </c>
      <c r="C17" s="2" t="s">
        <v>54</v>
      </c>
      <c r="D17" s="33" t="s">
        <v>51</v>
      </c>
      <c r="E17" s="33">
        <v>25.9</v>
      </c>
      <c r="F17" s="33">
        <v>20.7</v>
      </c>
      <c r="G17" s="33">
        <v>94</v>
      </c>
      <c r="H17" s="11" t="s">
        <v>36</v>
      </c>
    </row>
    <row r="18" spans="1:9" ht="15" customHeight="1" x14ac:dyDescent="0.25">
      <c r="A18" s="1">
        <v>43479</v>
      </c>
      <c r="B18" s="1" t="s">
        <v>22</v>
      </c>
      <c r="C18" s="2" t="s">
        <v>54</v>
      </c>
      <c r="D18" s="33">
        <v>0.2</v>
      </c>
      <c r="E18" s="33">
        <v>2.5</v>
      </c>
      <c r="F18" s="33">
        <v>23.1</v>
      </c>
      <c r="G18" s="33">
        <v>93</v>
      </c>
      <c r="H18" s="11" t="s">
        <v>32</v>
      </c>
      <c r="I18" s="30"/>
    </row>
    <row r="19" spans="1:9" ht="15" customHeight="1" x14ac:dyDescent="0.25">
      <c r="A19" s="1">
        <v>43486</v>
      </c>
      <c r="B19" s="2" t="s">
        <v>23</v>
      </c>
      <c r="C19" s="2" t="s">
        <v>54</v>
      </c>
      <c r="D19" s="33" t="s">
        <v>51</v>
      </c>
      <c r="E19" s="33">
        <v>37.700000000000003</v>
      </c>
      <c r="F19" s="33">
        <v>26.6</v>
      </c>
      <c r="G19" s="33">
        <v>97</v>
      </c>
      <c r="H19" s="13" t="s">
        <v>43</v>
      </c>
    </row>
    <row r="20" spans="1:9" x14ac:dyDescent="0.25">
      <c r="A20" s="1">
        <v>43495</v>
      </c>
      <c r="B20" s="2" t="s">
        <v>24</v>
      </c>
      <c r="C20" s="2" t="s">
        <v>54</v>
      </c>
      <c r="D20" s="33" t="s">
        <v>51</v>
      </c>
      <c r="E20" s="33">
        <v>36.4</v>
      </c>
      <c r="F20" s="33">
        <v>28.6</v>
      </c>
      <c r="G20" s="33">
        <v>87</v>
      </c>
      <c r="H20" s="13" t="s">
        <v>32</v>
      </c>
    </row>
    <row r="21" spans="1:9" ht="15" customHeight="1" x14ac:dyDescent="0.25">
      <c r="A21" s="1">
        <v>43497</v>
      </c>
      <c r="B21" s="2" t="s">
        <v>25</v>
      </c>
      <c r="C21" s="2" t="s">
        <v>54</v>
      </c>
      <c r="D21" s="33" t="s">
        <v>51</v>
      </c>
      <c r="E21" s="33" t="s">
        <v>51</v>
      </c>
      <c r="F21" s="33">
        <v>29.8</v>
      </c>
      <c r="G21" s="33">
        <v>79</v>
      </c>
      <c r="H21" s="13" t="s">
        <v>37</v>
      </c>
    </row>
    <row r="22" spans="1:9" ht="15" customHeight="1" x14ac:dyDescent="0.25">
      <c r="A22" s="1">
        <v>43475</v>
      </c>
      <c r="B22" s="2" t="s">
        <v>26</v>
      </c>
      <c r="C22" s="2" t="s">
        <v>54</v>
      </c>
      <c r="D22" s="33" t="s">
        <v>51</v>
      </c>
      <c r="E22" s="33" t="s">
        <v>51</v>
      </c>
      <c r="F22" s="33">
        <v>29.2</v>
      </c>
      <c r="G22" s="33">
        <v>81</v>
      </c>
      <c r="H22" s="13" t="s">
        <v>32</v>
      </c>
    </row>
    <row r="23" spans="1:9" ht="15" customHeight="1" x14ac:dyDescent="0.25">
      <c r="A23" s="1">
        <v>330601</v>
      </c>
      <c r="B23" s="2" t="s">
        <v>27</v>
      </c>
      <c r="C23" s="2" t="s">
        <v>54</v>
      </c>
      <c r="D23" s="33" t="s">
        <v>51</v>
      </c>
      <c r="E23" s="33">
        <v>45.1</v>
      </c>
      <c r="F23" s="33" t="s">
        <v>52</v>
      </c>
      <c r="G23" s="33">
        <v>85</v>
      </c>
      <c r="H23" s="13" t="s">
        <v>32</v>
      </c>
    </row>
    <row r="24" spans="1:9" ht="15" customHeight="1" x14ac:dyDescent="0.25">
      <c r="A24" s="1">
        <v>821501</v>
      </c>
      <c r="B24" s="1" t="s">
        <v>28</v>
      </c>
      <c r="C24" s="2" t="s">
        <v>54</v>
      </c>
      <c r="D24" s="33" t="s">
        <v>51</v>
      </c>
      <c r="E24" s="33">
        <v>4.2</v>
      </c>
      <c r="F24" s="33">
        <v>26.3</v>
      </c>
      <c r="G24" s="33">
        <v>88</v>
      </c>
      <c r="H24" s="11" t="s">
        <v>32</v>
      </c>
    </row>
    <row r="25" spans="1:9" ht="15" customHeight="1" x14ac:dyDescent="0.25">
      <c r="A25" s="1">
        <v>721501</v>
      </c>
      <c r="B25" s="1" t="s">
        <v>29</v>
      </c>
      <c r="C25" s="2" t="s">
        <v>54</v>
      </c>
      <c r="D25" s="33" t="s">
        <v>51</v>
      </c>
      <c r="E25" s="33" t="s">
        <v>51</v>
      </c>
      <c r="F25" s="33">
        <v>29.6</v>
      </c>
      <c r="G25" s="33">
        <v>79</v>
      </c>
      <c r="H25" s="11" t="s">
        <v>34</v>
      </c>
      <c r="I25" s="30"/>
    </row>
  </sheetData>
  <sortState xmlns:xlrd2="http://schemas.microsoft.com/office/spreadsheetml/2017/richdata2" ref="A2:K24">
    <sortCondition ref="A2:A24"/>
  </sortState>
  <phoneticPr fontId="2" type="noConversion"/>
  <dataValidations count="1">
    <dataValidation type="list" allowBlank="1" showInputMessage="1" showErrorMessage="1" sqref="H1:H25" xr:uid="{00000000-0002-0000-0000-000000000000}">
      <formula1>"cloudy,partlycloudynight,drizzling,fairday,fairnight,fog,fognight,haze,hazenight,thundershowers,lightning,mist,partlycloudy,rain,showers,smoke,thunderstorms,thunderstormsnight,gf"</formula1>
    </dataValidation>
  </dataValidations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25"/>
  <sheetViews>
    <sheetView zoomScale="130" zoomScaleNormal="130" workbookViewId="0">
      <selection activeCell="D2" sqref="D2:D25"/>
    </sheetView>
  </sheetViews>
  <sheetFormatPr defaultColWidth="9.140625" defaultRowHeight="15" x14ac:dyDescent="0.25"/>
  <cols>
    <col min="1" max="1" width="9.140625" style="7"/>
    <col min="2" max="2" width="20.42578125" style="7" bestFit="1" customWidth="1"/>
    <col min="3" max="3" width="7.7109375" style="7" customWidth="1"/>
    <col min="4" max="4" width="15.7109375" style="7" bestFit="1" customWidth="1"/>
    <col min="5" max="8" width="9.140625" style="7"/>
    <col min="9" max="9" width="9.140625" style="7" customWidth="1"/>
    <col min="10" max="10" width="0.140625" style="7" customWidth="1"/>
    <col min="11" max="11" width="14.85546875" style="7" hidden="1" customWidth="1"/>
    <col min="12" max="12" width="13.85546875" style="7" hidden="1" customWidth="1"/>
    <col min="13" max="16384" width="9.140625" style="7"/>
  </cols>
  <sheetData>
    <row r="1" spans="1:12" x14ac:dyDescent="0.25">
      <c r="A1" s="6" t="s">
        <v>0</v>
      </c>
      <c r="B1" s="6" t="s">
        <v>1</v>
      </c>
      <c r="C1" s="6" t="s">
        <v>49</v>
      </c>
      <c r="D1" s="6" t="s">
        <v>48</v>
      </c>
      <c r="E1" s="7">
        <v>1</v>
      </c>
      <c r="F1" s="7" t="s">
        <v>44</v>
      </c>
      <c r="J1" s="7">
        <v>1</v>
      </c>
      <c r="L1" s="7" t="str">
        <f t="shared" ref="L1:L16" si="0">VLOOKUP(J1,$E$1:$F$16,2,FALSE)</f>
        <v>rain</v>
      </c>
    </row>
    <row r="2" spans="1:12" x14ac:dyDescent="0.25">
      <c r="A2" s="8">
        <v>43404</v>
      </c>
      <c r="B2" s="8" t="s">
        <v>7</v>
      </c>
      <c r="C2" s="32">
        <v>2</v>
      </c>
      <c r="D2" s="12" t="str">
        <f t="shared" ref="D2:D25" si="1">VLOOKUP(C2,$E$1:$F$17,2,FALSE)</f>
        <v>fairday</v>
      </c>
      <c r="E2" s="7">
        <v>2</v>
      </c>
      <c r="F2" s="7" t="s">
        <v>32</v>
      </c>
      <c r="J2" s="7">
        <v>4</v>
      </c>
      <c r="L2" s="7" t="str">
        <f t="shared" si="0"/>
        <v>drizzling</v>
      </c>
    </row>
    <row r="3" spans="1:12" x14ac:dyDescent="0.25">
      <c r="A3" s="9">
        <v>43410</v>
      </c>
      <c r="B3" s="9" t="s">
        <v>8</v>
      </c>
      <c r="C3" s="32">
        <v>2</v>
      </c>
      <c r="D3" s="12" t="str">
        <f t="shared" si="1"/>
        <v>fairday</v>
      </c>
      <c r="E3" s="7">
        <v>3</v>
      </c>
      <c r="F3" s="7" t="s">
        <v>42</v>
      </c>
      <c r="J3" s="7">
        <v>10</v>
      </c>
      <c r="L3" s="7" t="str">
        <f t="shared" si="0"/>
        <v>thunderstorms</v>
      </c>
    </row>
    <row r="4" spans="1:12" x14ac:dyDescent="0.25">
      <c r="A4" s="8">
        <v>43413</v>
      </c>
      <c r="B4" s="10" t="s">
        <v>9</v>
      </c>
      <c r="C4" s="32">
        <v>2</v>
      </c>
      <c r="D4" s="13" t="str">
        <f t="shared" si="1"/>
        <v>fairday</v>
      </c>
      <c r="E4" s="7">
        <v>4</v>
      </c>
      <c r="F4" s="7" t="s">
        <v>37</v>
      </c>
      <c r="J4" s="7">
        <v>10</v>
      </c>
      <c r="L4" s="7" t="str">
        <f t="shared" si="0"/>
        <v>thunderstorms</v>
      </c>
    </row>
    <row r="5" spans="1:12" x14ac:dyDescent="0.25">
      <c r="A5" s="8">
        <v>43415</v>
      </c>
      <c r="B5" s="8" t="s">
        <v>10</v>
      </c>
      <c r="C5" s="32">
        <v>2</v>
      </c>
      <c r="D5" s="11" t="str">
        <f t="shared" si="1"/>
        <v>fairday</v>
      </c>
      <c r="E5" s="7">
        <v>5</v>
      </c>
      <c r="F5" s="7" t="s">
        <v>35</v>
      </c>
      <c r="J5" s="7">
        <v>10</v>
      </c>
      <c r="L5" s="7" t="str">
        <f t="shared" si="0"/>
        <v>thunderstorms</v>
      </c>
    </row>
    <row r="6" spans="1:12" x14ac:dyDescent="0.25">
      <c r="A6" s="8">
        <v>43418</v>
      </c>
      <c r="B6" s="10" t="s">
        <v>11</v>
      </c>
      <c r="C6" s="32">
        <v>2</v>
      </c>
      <c r="D6" s="13" t="str">
        <f t="shared" si="1"/>
        <v>fairday</v>
      </c>
      <c r="E6" s="7">
        <v>6</v>
      </c>
      <c r="F6" s="7" t="s">
        <v>34</v>
      </c>
      <c r="J6" s="7">
        <v>10</v>
      </c>
      <c r="L6" s="7" t="str">
        <f t="shared" si="0"/>
        <v>thunderstorms</v>
      </c>
    </row>
    <row r="7" spans="1:12" x14ac:dyDescent="0.25">
      <c r="A7" s="8">
        <v>43421</v>
      </c>
      <c r="B7" s="10" t="s">
        <v>12</v>
      </c>
      <c r="C7" s="32">
        <v>2</v>
      </c>
      <c r="D7" s="13" t="str">
        <f t="shared" si="1"/>
        <v>fairday</v>
      </c>
      <c r="E7" s="7">
        <v>7</v>
      </c>
      <c r="F7" s="7" t="s">
        <v>43</v>
      </c>
      <c r="J7" s="7">
        <v>10</v>
      </c>
      <c r="L7" s="7" t="str">
        <f t="shared" si="0"/>
        <v>thunderstorms</v>
      </c>
    </row>
    <row r="8" spans="1:12" x14ac:dyDescent="0.25">
      <c r="A8" s="8">
        <v>43422</v>
      </c>
      <c r="B8" s="8" t="s">
        <v>13</v>
      </c>
      <c r="C8" s="32">
        <v>2</v>
      </c>
      <c r="D8" s="11" t="str">
        <f t="shared" si="1"/>
        <v>fairday</v>
      </c>
      <c r="E8" s="7">
        <v>8</v>
      </c>
      <c r="F8" s="7" t="s">
        <v>39</v>
      </c>
      <c r="J8" s="7">
        <v>10</v>
      </c>
      <c r="L8" s="7" t="str">
        <f t="shared" si="0"/>
        <v>thunderstorms</v>
      </c>
    </row>
    <row r="9" spans="1:12" x14ac:dyDescent="0.25">
      <c r="A9" s="8">
        <v>43424</v>
      </c>
      <c r="B9" s="8" t="s">
        <v>14</v>
      </c>
      <c r="C9" s="32">
        <v>6</v>
      </c>
      <c r="D9" s="11" t="str">
        <f t="shared" si="1"/>
        <v>partlycloudy</v>
      </c>
      <c r="E9" s="7">
        <v>9</v>
      </c>
      <c r="F9" s="7" t="s">
        <v>33</v>
      </c>
      <c r="J9" s="7">
        <v>10</v>
      </c>
      <c r="L9" s="7" t="str">
        <f t="shared" si="0"/>
        <v>thunderstorms</v>
      </c>
    </row>
    <row r="10" spans="1:12" x14ac:dyDescent="0.25">
      <c r="A10" s="8">
        <v>43436</v>
      </c>
      <c r="B10" s="10" t="s">
        <v>15</v>
      </c>
      <c r="C10" s="32">
        <v>2</v>
      </c>
      <c r="D10" s="13" t="str">
        <f t="shared" si="1"/>
        <v>fairday</v>
      </c>
      <c r="E10" s="7">
        <v>10</v>
      </c>
      <c r="F10" s="7" t="s">
        <v>47</v>
      </c>
      <c r="J10" s="7">
        <v>10</v>
      </c>
      <c r="L10" s="7" t="str">
        <f t="shared" si="0"/>
        <v>thunderstorms</v>
      </c>
    </row>
    <row r="11" spans="1:12" x14ac:dyDescent="0.25">
      <c r="A11" s="8">
        <v>43441</v>
      </c>
      <c r="B11" s="10" t="s">
        <v>16</v>
      </c>
      <c r="C11" s="32">
        <v>2</v>
      </c>
      <c r="D11" s="13" t="str">
        <f t="shared" si="1"/>
        <v>fairday</v>
      </c>
      <c r="E11" s="7">
        <v>11</v>
      </c>
      <c r="F11" s="7" t="s">
        <v>45</v>
      </c>
      <c r="J11" s="7">
        <v>10</v>
      </c>
      <c r="L11" s="7" t="str">
        <f t="shared" si="0"/>
        <v>thunderstorms</v>
      </c>
    </row>
    <row r="12" spans="1:12" x14ac:dyDescent="0.25">
      <c r="A12" s="8">
        <v>43444</v>
      </c>
      <c r="B12" s="10" t="s">
        <v>30</v>
      </c>
      <c r="C12" s="32">
        <v>8</v>
      </c>
      <c r="D12" s="13" t="str">
        <f t="shared" si="1"/>
        <v>fog</v>
      </c>
      <c r="E12" s="7">
        <v>12</v>
      </c>
      <c r="F12" s="7" t="s">
        <v>41</v>
      </c>
      <c r="J12" s="7">
        <v>10</v>
      </c>
      <c r="L12" s="7" t="str">
        <f t="shared" si="0"/>
        <v>thunderstorms</v>
      </c>
    </row>
    <row r="13" spans="1:12" x14ac:dyDescent="0.25">
      <c r="A13" s="8">
        <v>43450</v>
      </c>
      <c r="B13" s="10" t="s">
        <v>17</v>
      </c>
      <c r="C13" s="32">
        <v>11</v>
      </c>
      <c r="D13" s="13" t="str">
        <f t="shared" si="1"/>
        <v>showers</v>
      </c>
      <c r="E13" s="7">
        <v>13</v>
      </c>
      <c r="F13" s="7" t="s">
        <v>38</v>
      </c>
      <c r="J13" s="7">
        <v>10</v>
      </c>
      <c r="L13" s="7" t="str">
        <f t="shared" si="0"/>
        <v>thunderstorms</v>
      </c>
    </row>
    <row r="14" spans="1:12" x14ac:dyDescent="0.25">
      <c r="A14" s="8">
        <v>43466</v>
      </c>
      <c r="B14" s="10" t="s">
        <v>18</v>
      </c>
      <c r="C14" s="32">
        <v>11</v>
      </c>
      <c r="D14" s="13" t="str">
        <f t="shared" si="1"/>
        <v>showers</v>
      </c>
      <c r="E14" s="7">
        <v>14</v>
      </c>
      <c r="F14" s="7" t="s">
        <v>46</v>
      </c>
      <c r="J14" s="7">
        <v>10</v>
      </c>
      <c r="L14" s="7" t="str">
        <f t="shared" si="0"/>
        <v>thunderstorms</v>
      </c>
    </row>
    <row r="15" spans="1:12" x14ac:dyDescent="0.25">
      <c r="A15" s="8">
        <v>43467</v>
      </c>
      <c r="B15" s="10" t="s">
        <v>19</v>
      </c>
      <c r="C15" s="32">
        <v>2</v>
      </c>
      <c r="D15" s="13" t="str">
        <f t="shared" si="1"/>
        <v>fairday</v>
      </c>
      <c r="E15" s="7">
        <v>15</v>
      </c>
      <c r="F15" s="7" t="s">
        <v>40</v>
      </c>
      <c r="J15" s="7">
        <v>10</v>
      </c>
      <c r="L15" s="7" t="str">
        <f t="shared" si="0"/>
        <v>thunderstorms</v>
      </c>
    </row>
    <row r="16" spans="1:12" x14ac:dyDescent="0.25">
      <c r="A16" s="8">
        <v>43473</v>
      </c>
      <c r="B16" s="10" t="s">
        <v>20</v>
      </c>
      <c r="C16" s="32">
        <v>2</v>
      </c>
      <c r="D16" s="13" t="str">
        <f t="shared" si="1"/>
        <v>fairday</v>
      </c>
      <c r="E16" s="7">
        <v>16</v>
      </c>
      <c r="F16" s="7" t="s">
        <v>36</v>
      </c>
      <c r="J16" s="7">
        <v>10</v>
      </c>
      <c r="L16" s="7" t="str">
        <f t="shared" si="0"/>
        <v>thunderstorms</v>
      </c>
    </row>
    <row r="17" spans="1:12" x14ac:dyDescent="0.25">
      <c r="A17" s="8">
        <v>43476</v>
      </c>
      <c r="B17" s="8" t="s">
        <v>21</v>
      </c>
      <c r="C17" s="32">
        <v>7</v>
      </c>
      <c r="D17" s="11" t="str">
        <f t="shared" si="1"/>
        <v>mist</v>
      </c>
      <c r="E17" s="7">
        <v>17</v>
      </c>
      <c r="F17" s="7" t="s">
        <v>50</v>
      </c>
      <c r="J17" s="7">
        <v>17</v>
      </c>
      <c r="L17" s="7" t="str">
        <f>VLOOKUP(J17,$E$1:$F$17,2,FALSE)</f>
        <v>fognight</v>
      </c>
    </row>
    <row r="18" spans="1:12" x14ac:dyDescent="0.25">
      <c r="A18" s="8">
        <v>43479</v>
      </c>
      <c r="B18" s="8" t="s">
        <v>22</v>
      </c>
      <c r="C18" s="32">
        <v>7</v>
      </c>
      <c r="D18" s="11" t="str">
        <f t="shared" si="1"/>
        <v>mist</v>
      </c>
    </row>
    <row r="19" spans="1:12" x14ac:dyDescent="0.25">
      <c r="A19" s="8">
        <v>43486</v>
      </c>
      <c r="B19" s="10" t="s">
        <v>23</v>
      </c>
      <c r="C19" s="32">
        <v>7</v>
      </c>
      <c r="D19" s="13" t="str">
        <f t="shared" si="1"/>
        <v>mist</v>
      </c>
    </row>
    <row r="20" spans="1:12" x14ac:dyDescent="0.25">
      <c r="A20" s="8">
        <v>43495</v>
      </c>
      <c r="B20" s="10" t="s">
        <v>24</v>
      </c>
      <c r="C20" s="32">
        <v>2</v>
      </c>
      <c r="D20" s="13" t="str">
        <f t="shared" si="1"/>
        <v>fairday</v>
      </c>
    </row>
    <row r="21" spans="1:12" x14ac:dyDescent="0.25">
      <c r="A21" s="8">
        <v>43497</v>
      </c>
      <c r="B21" s="10" t="s">
        <v>25</v>
      </c>
      <c r="C21" s="32">
        <v>2</v>
      </c>
      <c r="D21" s="13" t="str">
        <f t="shared" si="1"/>
        <v>fairday</v>
      </c>
    </row>
    <row r="22" spans="1:12" x14ac:dyDescent="0.25">
      <c r="A22" s="8">
        <v>43475</v>
      </c>
      <c r="B22" s="10" t="s">
        <v>26</v>
      </c>
      <c r="C22" s="32">
        <v>6</v>
      </c>
      <c r="D22" s="13" t="str">
        <f t="shared" si="1"/>
        <v>partlycloudy</v>
      </c>
    </row>
    <row r="23" spans="1:12" x14ac:dyDescent="0.25">
      <c r="A23" s="8">
        <v>330601</v>
      </c>
      <c r="B23" s="10" t="s">
        <v>27</v>
      </c>
      <c r="C23" s="32">
        <v>6</v>
      </c>
      <c r="D23" s="13" t="str">
        <f t="shared" si="1"/>
        <v>partlycloudy</v>
      </c>
    </row>
    <row r="24" spans="1:12" x14ac:dyDescent="0.25">
      <c r="A24" s="8">
        <v>821501</v>
      </c>
      <c r="B24" s="8" t="s">
        <v>28</v>
      </c>
      <c r="C24" s="32">
        <v>2</v>
      </c>
      <c r="D24" s="11" t="str">
        <f t="shared" si="1"/>
        <v>fairday</v>
      </c>
    </row>
    <row r="25" spans="1:12" x14ac:dyDescent="0.25">
      <c r="A25" s="8">
        <v>721501</v>
      </c>
      <c r="B25" s="8" t="s">
        <v>29</v>
      </c>
      <c r="C25" s="32">
        <v>2</v>
      </c>
      <c r="D25" s="11" t="str">
        <f t="shared" si="1"/>
        <v>fairday</v>
      </c>
    </row>
  </sheetData>
  <sheetProtection algorithmName="SHA-512" hashValue="YEWvf3pe/VU02lgfedgmtyX+yIi+b1BRy3G+ZLsJPidHzK688igagia8oy8251tkWxG17EpuJHZww9ZgQy1y3g==" saltValue="eWodkh4bIYgfi2yHWmIqGA==" spinCount="100000" sheet="1" selectLockedCells="1"/>
  <sortState xmlns:xlrd2="http://schemas.microsoft.com/office/spreadsheetml/2017/richdata2" ref="A3:L24">
    <sortCondition ref="A3:A24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D17"/>
  <sheetViews>
    <sheetView workbookViewId="0">
      <selection activeCell="G3" sqref="G3"/>
    </sheetView>
  </sheetViews>
  <sheetFormatPr defaultRowHeight="15" x14ac:dyDescent="0.25"/>
  <sheetData>
    <row r="1" spans="2:4" x14ac:dyDescent="0.25">
      <c r="B1" s="18" t="s">
        <v>35</v>
      </c>
      <c r="D1" s="14" t="s">
        <v>44</v>
      </c>
    </row>
    <row r="2" spans="2:4" x14ac:dyDescent="0.25">
      <c r="B2" s="29" t="s">
        <v>36</v>
      </c>
      <c r="D2" s="15" t="s">
        <v>32</v>
      </c>
    </row>
    <row r="3" spans="2:4" x14ac:dyDescent="0.25">
      <c r="B3" s="17" t="s">
        <v>37</v>
      </c>
      <c r="D3" s="16" t="s">
        <v>42</v>
      </c>
    </row>
    <row r="4" spans="2:4" x14ac:dyDescent="0.25">
      <c r="B4" s="15" t="s">
        <v>32</v>
      </c>
      <c r="D4" s="17" t="s">
        <v>37</v>
      </c>
    </row>
    <row r="5" spans="2:4" x14ac:dyDescent="0.25">
      <c r="B5" t="s">
        <v>38</v>
      </c>
      <c r="D5" s="18" t="s">
        <v>35</v>
      </c>
    </row>
    <row r="6" spans="2:4" x14ac:dyDescent="0.25">
      <c r="B6" s="21" t="s">
        <v>39</v>
      </c>
      <c r="D6" s="19" t="s">
        <v>34</v>
      </c>
    </row>
    <row r="7" spans="2:4" x14ac:dyDescent="0.25">
      <c r="B7" s="26" t="s">
        <v>50</v>
      </c>
      <c r="D7" s="20" t="s">
        <v>43</v>
      </c>
    </row>
    <row r="8" spans="2:4" x14ac:dyDescent="0.25">
      <c r="B8" s="22" t="s">
        <v>33</v>
      </c>
      <c r="D8" s="21" t="s">
        <v>39</v>
      </c>
    </row>
    <row r="9" spans="2:4" x14ac:dyDescent="0.25">
      <c r="B9" s="28" t="s">
        <v>40</v>
      </c>
      <c r="D9" s="22" t="s">
        <v>33</v>
      </c>
    </row>
    <row r="10" spans="2:4" x14ac:dyDescent="0.25">
      <c r="B10" s="25" t="s">
        <v>41</v>
      </c>
      <c r="D10" s="23" t="s">
        <v>47</v>
      </c>
    </row>
    <row r="11" spans="2:4" x14ac:dyDescent="0.25">
      <c r="B11" s="16" t="s">
        <v>42</v>
      </c>
      <c r="D11" s="24" t="s">
        <v>45</v>
      </c>
    </row>
    <row r="12" spans="2:4" x14ac:dyDescent="0.25">
      <c r="B12" s="20" t="s">
        <v>43</v>
      </c>
      <c r="D12" s="25" t="s">
        <v>41</v>
      </c>
    </row>
    <row r="13" spans="2:4" x14ac:dyDescent="0.25">
      <c r="B13" s="19" t="s">
        <v>34</v>
      </c>
      <c r="D13" t="s">
        <v>38</v>
      </c>
    </row>
    <row r="14" spans="2:4" x14ac:dyDescent="0.25">
      <c r="B14" s="15" t="s">
        <v>44</v>
      </c>
      <c r="D14" s="27" t="s">
        <v>46</v>
      </c>
    </row>
    <row r="15" spans="2:4" x14ac:dyDescent="0.25">
      <c r="B15" s="24" t="s">
        <v>45</v>
      </c>
      <c r="D15" s="28" t="s">
        <v>40</v>
      </c>
    </row>
    <row r="16" spans="2:4" x14ac:dyDescent="0.25">
      <c r="B16" s="27" t="s">
        <v>46</v>
      </c>
      <c r="D16" s="29" t="s">
        <v>36</v>
      </c>
    </row>
    <row r="17" spans="2:4" x14ac:dyDescent="0.25">
      <c r="B17" s="23" t="s">
        <v>47</v>
      </c>
      <c r="D17" s="26" t="s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S.D.A.S. Subasinghe</dc:creator>
  <cp:lastModifiedBy>WFP SL14</cp:lastModifiedBy>
  <cp:lastPrinted>2026-05-02T09:45:34Z</cp:lastPrinted>
  <dcterms:created xsi:type="dcterms:W3CDTF">2025-12-16T10:08:32Z</dcterms:created>
  <dcterms:modified xsi:type="dcterms:W3CDTF">2026-05-08T03:55:37Z</dcterms:modified>
</cp:coreProperties>
</file>