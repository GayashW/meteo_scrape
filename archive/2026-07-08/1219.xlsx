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FE1F115D-C833-4649-80E1-060A2462B9B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<sst xmlns="http://schemas.openxmlformats.org/spreadsheetml/2006/main" count="670" uniqueCount="104">
  <si>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</si>
  <si>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</si>
  <si>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</si>
  <si>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</si>
  <si>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</si>
  <si>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</si>
  <si>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</si>
  <si>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</si>
  <si>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</si>
  <si>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</si>
  <si>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</si>
  <si>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</si>
  <si>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</si>
  <si>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</si>
  <si>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</si>
  <si>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</si>
  <si>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</si>
  <si>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</si>
  <si>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</si>
  <si>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</si>
  <si>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</si>
  <si>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</si>
  <si>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</si>
  <si>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</si>
  <si>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</si>
  <si>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</si>
  <si>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</si>
  <si>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</si>
  <si>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</si>
  <si>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</si>
  <si>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</si>
  <si>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</si>
  <si>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</si>
  <si>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</si>
  <si>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</si>
  <si>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</si>
  <si>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</si>
  <si>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</si>
  <si>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</si>
  <si>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</si>
  <si>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</si>
  <si>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</si>
  <si>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</si>
  <si>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</si>
  <si>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</si>
  <si>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</si>
  <si>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</si>
  <si>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</si>
  <si>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</si>
  <si>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</si>
  <si>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</si>
  <si>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</si>
  <si>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</si>
  <si>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</si>
  <si>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</si>
  <si>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</si>
  <si>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</si>
  <si>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</si>
  <si>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</si>
  <si>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</si>
  <si>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</si>
  <si>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</si>
  <si>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</si>
  <si>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</si>
  <si>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</si>
  <si>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</si>
  <si>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</si>
  <si>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</si>
  <si>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</si>
  <si>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</si>
  <si>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</si>
  <si>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</si>
  <si>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</si>
  <si>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</si>
  <si>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</si>
  <si>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</si>
  <si>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</si>
  <si>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14.0</t>
  </si>
  <si>
    <t>33.0</t>
  </si>
  <si>
    <t>31.0</t>
  </si>
  <si>
    <t>28.0</t>
  </si>
  <si>
    <t>13.0</t>
  </si>
  <si>
    <t>15.1</t>
  </si>
  <si>
    <t>7.9</t>
  </si>
  <si>
    <t>9.4</t>
  </si>
  <si>
    <t>10.1</t>
  </si>
  <si>
    <t>24.1</t>
  </si>
  <si>
    <t>7.6</t>
  </si>
  <si>
    <t>2026-07-08 1430</t>
  </si>
  <si>
    <t>35.0</t>
  </si>
  <si>
    <t>36.0</t>
  </si>
  <si>
    <t>8.0</t>
  </si>
  <si>
    <t>11.5</t>
  </si>
  <si>
    <t>10.4</t>
  </si>
  <si>
    <t>4.8</t>
  </si>
  <si>
    <t>12.2</t>
  </si>
  <si>
    <t>18.4</t>
  </si>
  <si>
    <t>11.2</t>
  </si>
  <si>
    <t>17.2</t>
  </si>
  <si>
    <t>5.4</t>
  </si>
  <si>
    <t>6.1</t>
  </si>
  <si>
    <t>30.0</t>
  </si>
  <si>
    <t>1.6</t>
  </si>
  <si>
    <t>16.6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</si>
</sst>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" sqref="J2:J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88</v>
      </c>
      <c r="D2" s="24" t="s">
        <v>76</v>
      </c>
      <c r="E2" s="24" t="s">
        <v>76</v>
      </c>
      <c r="F2" s="24">
        <v>33.299999999999997</v>
      </c>
      <c r="G2" s="3">
        <v>69</v>
      </c>
      <c r="H2" s="3" t="s">
        <v>32</v>
      </c>
      <c r="I2" s="3" t="s">
        <v>72</v>
      </c>
      <c r="J2" s="24" t="s">
        <v>77</v>
      </c>
      <c r="K2" s="24"/>
    </row>
    <row r="3" spans="1:15" ht="16.5" customHeight="1" x14ac:dyDescent="0.25">
      <c r="A3" s="3">
        <v>43410</v>
      </c>
      <c r="B3" s="3" t="s">
        <v>8</v>
      </c>
      <c r="C3" s="26" t="s">
        <v>88</v>
      </c>
      <c r="D3" s="24" t="s">
        <v>76</v>
      </c>
      <c r="E3" s="24" t="s">
        <v>76</v>
      </c>
      <c r="F3" s="24">
        <v>36.799999999999997</v>
      </c>
      <c r="G3" s="3">
        <v>43</v>
      </c>
      <c r="H3" s="3" t="s">
        <v>32</v>
      </c>
      <c r="I3" s="3" t="s">
        <v>72</v>
      </c>
      <c r="J3" s="24" t="s">
        <v>91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88</v>
      </c>
      <c r="D4" s="24" t="s">
        <v>76</v>
      </c>
      <c r="E4" s="24" t="s">
        <v>76</v>
      </c>
      <c r="F4" s="24">
        <v>30.1</v>
      </c>
      <c r="G4" s="3">
        <v>78</v>
      </c>
      <c r="H4" s="3" t="s">
        <v>34</v>
      </c>
      <c r="I4" s="3" t="s">
        <v>55</v>
      </c>
      <c r="J4" s="24" t="s">
        <v>86</v>
      </c>
      <c r="K4" s="24"/>
      <c r="M4" s="3"/>
    </row>
    <row r="5" spans="1:15" ht="15.75" customHeight="1" x14ac:dyDescent="0.25">
      <c r="A5" s="1">
        <v>43415</v>
      </c>
      <c r="B5" s="1" t="s">
        <v>10</v>
      </c>
      <c r="C5" s="26" t="s">
        <v>88</v>
      </c>
      <c r="D5" s="24" t="s">
        <v>76</v>
      </c>
      <c r="E5" s="24" t="s">
        <v>76</v>
      </c>
      <c r="F5" s="24" t="s">
        <v>89</v>
      </c>
      <c r="G5" s="3">
        <v>51</v>
      </c>
      <c r="H5" s="3" t="s">
        <v>32</v>
      </c>
      <c r="I5" s="3" t="s">
        <v>57</v>
      </c>
      <c r="J5" s="24" t="s">
        <v>87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88</v>
      </c>
      <c r="D6" s="24" t="s">
        <v>76</v>
      </c>
      <c r="E6" s="24" t="s">
        <v>76</v>
      </c>
      <c r="F6" s="24">
        <v>35.799999999999997</v>
      </c>
      <c r="G6" s="3">
        <v>43</v>
      </c>
      <c r="H6" s="3" t="s">
        <v>32</v>
      </c>
      <c r="I6" s="3" t="s">
        <v>55</v>
      </c>
      <c r="J6" s="24" t="s">
        <v>91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88</v>
      </c>
      <c r="D7" s="24" t="s">
        <v>76</v>
      </c>
      <c r="E7" s="24" t="s">
        <v>76</v>
      </c>
      <c r="F7" s="24" t="s">
        <v>78</v>
      </c>
      <c r="G7" s="3">
        <v>59</v>
      </c>
      <c r="H7" s="3" t="s">
        <v>34</v>
      </c>
      <c r="I7" s="3" t="s">
        <v>57</v>
      </c>
      <c r="J7" s="24" t="s">
        <v>92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88</v>
      </c>
      <c r="D8" s="24" t="s">
        <v>76</v>
      </c>
      <c r="E8" s="24" t="s">
        <v>76</v>
      </c>
      <c r="F8" s="24">
        <v>31.9</v>
      </c>
      <c r="G8" s="3">
        <v>63</v>
      </c>
      <c r="H8" s="3" t="s">
        <v>35</v>
      </c>
      <c r="I8" s="3" t="s">
        <v>55</v>
      </c>
      <c r="J8" s="24" t="s">
        <v>85</v>
      </c>
      <c r="K8" s="24"/>
      <c r="N8" s="24"/>
      <c r="O8" s="24"/>
    </row>
    <row r="9" spans="1:15" ht="14.25" customHeight="1" x14ac:dyDescent="0.25">
      <c r="A9" s="1">
        <v>43424</v>
      </c>
      <c r="B9" s="1" t="s">
        <v>14</v>
      </c>
      <c r="C9" s="26" t="s">
        <v>88</v>
      </c>
      <c r="D9" s="24" t="s">
        <v>76</v>
      </c>
      <c r="E9" s="24" t="s">
        <v>76</v>
      </c>
      <c r="F9" s="24">
        <v>31.3</v>
      </c>
      <c r="G9" s="3">
        <v>71</v>
      </c>
      <c r="H9" s="3" t="s">
        <v>35</v>
      </c>
      <c r="I9" s="3" t="s">
        <v>57</v>
      </c>
      <c r="J9" s="24" t="s">
        <v>93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88</v>
      </c>
      <c r="D10" s="24" t="s">
        <v>76</v>
      </c>
      <c r="E10" s="24" t="s">
        <v>76</v>
      </c>
      <c r="F10" s="24">
        <v>33.4</v>
      </c>
      <c r="G10" s="3">
        <v>61</v>
      </c>
      <c r="H10" s="3" t="s">
        <v>32</v>
      </c>
      <c r="I10" s="3" t="s">
        <v>62</v>
      </c>
      <c r="J10" s="24" t="s">
        <v>94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88</v>
      </c>
      <c r="D11" s="24" t="s">
        <v>76</v>
      </c>
      <c r="E11" s="24" t="s">
        <v>76</v>
      </c>
      <c r="F11" s="24">
        <v>31.9</v>
      </c>
      <c r="G11" s="3">
        <v>63</v>
      </c>
      <c r="H11" s="3" t="s">
        <v>34</v>
      </c>
      <c r="I11" s="3" t="s">
        <v>55</v>
      </c>
      <c r="J11" s="24" t="s">
        <v>84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88</v>
      </c>
      <c r="D12" s="24" t="s">
        <v>76</v>
      </c>
      <c r="E12" s="24" t="s">
        <v>76</v>
      </c>
      <c r="F12" s="24">
        <v>29.1</v>
      </c>
      <c r="G12" s="3">
        <v>65</v>
      </c>
      <c r="H12" s="3" t="s">
        <v>34</v>
      </c>
      <c r="I12" s="3" t="s">
        <v>57</v>
      </c>
      <c r="J12" s="24" t="s">
        <v>95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88</v>
      </c>
      <c r="D13" s="24" t="s">
        <v>76</v>
      </c>
      <c r="E13" s="24" t="s">
        <v>76</v>
      </c>
      <c r="F13" s="24">
        <v>31.2</v>
      </c>
      <c r="G13" s="3">
        <v>71</v>
      </c>
      <c r="H13" s="3" t="s">
        <v>32</v>
      </c>
      <c r="I13" s="3" t="s">
        <v>56</v>
      </c>
      <c r="J13" s="24" t="s">
        <v>96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88</v>
      </c>
      <c r="D14" s="24" t="s">
        <v>76</v>
      </c>
      <c r="E14" s="24" t="s">
        <v>76</v>
      </c>
      <c r="F14" s="24">
        <v>30.8</v>
      </c>
      <c r="G14" s="3">
        <v>76</v>
      </c>
      <c r="H14" s="3" t="s">
        <v>32</v>
      </c>
      <c r="I14" s="3" t="s">
        <v>55</v>
      </c>
      <c r="J14" s="24" t="s">
        <v>97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88</v>
      </c>
      <c r="D15" s="24" t="s">
        <v>76</v>
      </c>
      <c r="E15" s="24" t="s">
        <v>76</v>
      </c>
      <c r="F15" s="24">
        <v>32.5</v>
      </c>
      <c r="G15" s="3">
        <v>71</v>
      </c>
      <c r="H15" s="3" t="s">
        <v>32</v>
      </c>
      <c r="I15" s="3" t="s">
        <v>55</v>
      </c>
      <c r="J15" s="24" t="s">
        <v>81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88</v>
      </c>
      <c r="D16" s="24" t="s">
        <v>76</v>
      </c>
      <c r="E16" s="24" t="s">
        <v>76</v>
      </c>
      <c r="F16" s="24">
        <v>19.100000000000001</v>
      </c>
      <c r="G16" s="3">
        <v>77</v>
      </c>
      <c r="H16" s="3" t="s">
        <v>35</v>
      </c>
      <c r="I16" s="3" t="s">
        <v>58</v>
      </c>
      <c r="J16" s="24" t="s">
        <v>82</v>
      </c>
      <c r="K16" s="24"/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88</v>
      </c>
      <c r="D17" s="24" t="s">
        <v>76</v>
      </c>
      <c r="E17" s="24" t="s">
        <v>76</v>
      </c>
      <c r="F17" s="24" t="s">
        <v>80</v>
      </c>
      <c r="G17" s="3">
        <v>53</v>
      </c>
      <c r="H17" s="3" t="s">
        <v>32</v>
      </c>
      <c r="I17" s="3" t="s">
        <v>58</v>
      </c>
      <c r="J17" s="24" t="s">
        <v>98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88</v>
      </c>
      <c r="D18" s="24" t="s">
        <v>76</v>
      </c>
      <c r="E18" s="24" t="s">
        <v>76</v>
      </c>
      <c r="F18" s="24" t="s">
        <v>79</v>
      </c>
      <c r="G18" s="3">
        <v>49</v>
      </c>
      <c r="H18" s="3" t="s">
        <v>34</v>
      </c>
      <c r="I18" s="3" t="s">
        <v>74</v>
      </c>
      <c r="J18" s="24" t="s">
        <v>99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88</v>
      </c>
      <c r="D19" s="24" t="s">
        <v>76</v>
      </c>
      <c r="E19" s="24" t="s">
        <v>76</v>
      </c>
      <c r="F19" s="24">
        <v>32.799999999999997</v>
      </c>
      <c r="G19" s="3">
        <v>61</v>
      </c>
      <c r="H19" s="3" t="s">
        <v>33</v>
      </c>
      <c r="I19" s="3" t="s">
        <v>61</v>
      </c>
      <c r="J19" s="24" t="s">
        <v>85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88</v>
      </c>
      <c r="D20" s="24" t="s">
        <v>76</v>
      </c>
      <c r="E20" s="24" t="s">
        <v>76</v>
      </c>
      <c r="F20" s="24">
        <v>30.1</v>
      </c>
      <c r="G20" s="3">
        <v>83</v>
      </c>
      <c r="H20" s="3" t="s">
        <v>32</v>
      </c>
      <c r="I20" s="3" t="s">
        <v>57</v>
      </c>
      <c r="J20" s="24" t="s">
        <v>100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88</v>
      </c>
      <c r="D21" s="24" t="s">
        <v>76</v>
      </c>
      <c r="E21" s="24" t="s">
        <v>76</v>
      </c>
      <c r="F21" s="24">
        <v>35.9</v>
      </c>
      <c r="G21" s="3">
        <v>45</v>
      </c>
      <c r="H21" s="3" t="s">
        <v>32</v>
      </c>
      <c r="I21" s="3" t="s">
        <v>57</v>
      </c>
      <c r="J21" s="24" t="s">
        <v>81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88</v>
      </c>
      <c r="D22" s="24" t="s">
        <v>76</v>
      </c>
      <c r="E22" s="24" t="s">
        <v>76</v>
      </c>
      <c r="F22" s="24">
        <v>33.4</v>
      </c>
      <c r="G22" s="3">
        <v>61</v>
      </c>
      <c r="H22" s="3" t="s">
        <v>32</v>
      </c>
      <c r="I22" s="3" t="s">
        <v>70</v>
      </c>
      <c r="J22" s="24" t="s">
        <v>83</v>
      </c>
      <c r="K22" s="24"/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88</v>
      </c>
      <c r="D23" s="24" t="s">
        <v>76</v>
      </c>
      <c r="E23" s="24" t="s">
        <v>76</v>
      </c>
      <c r="F23" s="24">
        <v>35.299999999999997</v>
      </c>
      <c r="G23" s="3">
        <v>41</v>
      </c>
      <c r="H23" s="3" t="s">
        <v>32</v>
      </c>
      <c r="I23" s="3" t="s">
        <v>58</v>
      </c>
      <c r="J23" s="24" t="s">
        <v>101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88</v>
      </c>
      <c r="D24" s="24" t="s">
        <v>76</v>
      </c>
      <c r="E24" s="24" t="s">
        <v>76</v>
      </c>
      <c r="F24" s="24">
        <v>36.4</v>
      </c>
      <c r="G24" s="3">
        <v>35</v>
      </c>
      <c r="H24" s="3" t="s">
        <v>32</v>
      </c>
      <c r="I24" s="3" t="s">
        <v>73</v>
      </c>
      <c r="J24" s="24" t="s">
        <v>102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88</v>
      </c>
      <c r="D25" s="24" t="s">
        <v>76</v>
      </c>
      <c r="E25" s="24" t="s">
        <v>76</v>
      </c>
      <c r="F25" s="24" t="s">
        <v>90</v>
      </c>
      <c r="G25" s="3">
        <v>43</v>
      </c>
      <c r="H25" s="3" t="s">
        <v>34</v>
      </c>
      <c r="I25" s="3" t="s">
        <v>61</v>
      </c>
      <c r="J25" s="24" t="s">
        <v>103</v>
      </c>
      <c r="K25" s="24"/>
      <c r="N25" s="24"/>
      <c r="O25" s="24"/>
    </row>
  </sheetData>
  <sortState xmlns:xlrd2="http://schemas.microsoft.com/office/spreadsheetml/2017/richdata2" ref="A4:O24">
    <sortCondition ref="A4:A24"/>
  </sortState>
  <phoneticPr fontId="2" type="noConversion"/>
  <dataValidations count="1">
    <dataValidation type="list" allowBlank="1" showInputMessage="1" showErrorMessage="1" sqref="M25 I4:I23 M6:M19 M22:M23 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I1:I3 I24:I25 I5 I8 I17:I18 I22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193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2</v>
      </c>
      <c r="E3" s="3" t="str">
        <f t="shared" ref="E3:E25" si="1">VLOOKUP(D3,$G$1:$H$19,2,FALSE)</f>
        <v>fairday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218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241</v>
      </c>
      <c r="D5" s="25">
        <v>2</v>
      </c>
      <c r="E5" s="3" t="str">
        <f t="shared" si="1"/>
        <v>fairday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244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203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222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293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342</v>
      </c>
      <c r="D18" s="25">
        <v>6</v>
      </c>
      <c r="E18" s="3" t="str">
        <f t="shared" si="1"/>
        <v>partlycloudy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265</v>
      </c>
      <c r="D19" s="25">
        <v>9</v>
      </c>
      <c r="E19" s="3" t="str">
        <f t="shared" si="1"/>
        <v>haze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256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114</v>
      </c>
      <c r="D22" s="25">
        <v>2</v>
      </c>
      <c r="E22" s="3" t="str">
        <f t="shared" si="1"/>
        <v>fairday</v>
      </c>
      <c r="F22" s="3" t="str">
        <f>Sheet4!L21</f>
        <v>ESE</v>
      </c>
    </row>
    <row r="23" spans="1:14" x14ac:dyDescent="0.25">
      <c r="A23" s="36">
        <v>330601</v>
      </c>
      <c r="B23" s="38" t="s">
        <v>27</v>
      </c>
      <c r="C23" s="33">
        <v>290</v>
      </c>
      <c r="D23" s="25">
        <v>2</v>
      </c>
      <c r="E23" s="3" t="str">
        <f t="shared" si="1"/>
        <v>fairday</v>
      </c>
      <c r="F23" s="3" t="str">
        <f>Sheet4!L22</f>
        <v>WNW</v>
      </c>
    </row>
    <row r="24" spans="1:14" x14ac:dyDescent="0.25">
      <c r="A24" s="36">
        <v>821501</v>
      </c>
      <c r="B24" s="36" t="s">
        <v>28</v>
      </c>
      <c r="C24" s="31">
        <v>360</v>
      </c>
      <c r="D24" s="25">
        <v>2</v>
      </c>
      <c r="E24" s="3" t="str">
        <f t="shared" si="1"/>
        <v>fairday</v>
      </c>
      <c r="F24" s="3" t="str">
        <f>Sheet4!L23</f>
        <v>N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193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241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244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203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222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293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342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265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256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114</v>
      </c>
      <c r="L21" t="str">
        <f t="shared" si="0"/>
        <v>ESE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290</v>
      </c>
      <c r="L22" t="str">
        <f t="shared" si="0"/>
        <v>WNW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360</v>
      </c>
      <c r="L23" t="str">
        <f t="shared" si="0"/>
        <v>N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2026-07-08T09:26:32Z</dcterms:modified>
</cp:coreProperties>
</file>