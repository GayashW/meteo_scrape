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4092E35-8DDB-462C-902A-82D58729B21D}" xr6:coauthVersionLast="47" xr6:coauthVersionMax="47" xr10:uidLastSave="{00000000-0000-0000-0000-000000000000}"/>
  <bookViews>
    <workbookView xWindow="459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<sst xmlns="http://schemas.openxmlformats.org/spreadsheetml/2006/main" count="652" uniqueCount="93">
  <si>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</si>
  <si>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</si>
  <si>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</si>
  <si>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</si>
  <si>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</si>
  <si>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</si>
  <si>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</si>
  <si>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</si>
  <si>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</si>
  <si>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</si>
  <si>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</si>
  <si>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</si>
  <si>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</si>
  <si>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</si>
  <si>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</si>
  <si>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</si>
  <si>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</si>
  <si>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</si>
  <si>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</si>
  <si>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</si>
  <si>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</si>
  <si>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</si>
  <si>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</si>
  <si>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</si>
  <si>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</si>
  <si>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</si>
  <si>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</si>
  <si>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</si>
  <si>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</si>
  <si>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</si>
  <si>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</si>
  <si>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</si>
  <si>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</si>
  <si>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</si>
  <si>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</si>
  <si>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</si>
  <si>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</si>
  <si>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</si>
  <si>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</si>
  <si>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</si>
  <si>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</si>
  <si>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</si>
  <si>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</si>
  <si>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</si>
  <si>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</si>
  <si>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</si>
  <si>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</si>
  <si>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</si>
  <si>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</si>
  <si>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</si>
  <si>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</si>
  <si>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</si>
  <si>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</si>
  <si>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</si>
  <si>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</si>
  <si>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</si>
  <si>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</si>
  <si>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</si>
  <si>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</si>
  <si>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</si>
  <si>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</si>
  <si>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</si>
  <si>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</si>
  <si>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</si>
  <si>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</si>
  <si>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</si>
  <si>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</si>
  <si>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</si>
  <si>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</si>
  <si>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</si>
  <si>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</si>
  <si>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</si>
  <si>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</si>
  <si>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</si>
  <si>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</si>
  <si>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</si>
  <si>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</si>
  <si>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</si>
  <si>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4.0</t>
  </si>
  <si>
    <t>NA</t>
  </si>
  <si>
    <t>70.1</t>
  </si>
  <si>
    <t>8.6</t>
  </si>
  <si>
    <t>10.8</t>
  </si>
  <si>
    <t>2.9</t>
  </si>
  <si>
    <t>10.2</t>
  </si>
  <si>
    <t>11.3</t>
  </si>
  <si>
    <t>2026-08-02 1730</t>
  </si>
  <si>
    <t>30.0</t>
  </si>
  <si>
    <t>29.0</t>
  </si>
  <si>
    <t>26.0</t>
  </si>
  <si>
    <t>14.0</t>
  </si>
  <si>
    <t>2.0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</si>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</sst>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zoomScaleNormal="100" workbookViewId="0">
      <selection activeCell="K28" sqref="K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30.8</v>
      </c>
      <c r="G2" s="24">
        <v>72</v>
      </c>
      <c r="H2" s="24" t="s">
        <v>35</v>
      </c>
      <c r="I2" s="24" t="s">
        <v>72</v>
      </c>
      <c r="J2" s="24">
        <v>7.2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34.5</v>
      </c>
      <c r="G3" s="24">
        <v>49</v>
      </c>
      <c r="H3" s="24" t="s">
        <v>35</v>
      </c>
      <c r="I3" s="24" t="s">
        <v>55</v>
      </c>
      <c r="J3" s="24" t="s">
        <v>90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28.9</v>
      </c>
      <c r="G4" s="24">
        <v>81</v>
      </c>
      <c r="H4" s="24" t="s">
        <v>35</v>
      </c>
      <c r="I4" s="24" t="s">
        <v>56</v>
      </c>
      <c r="J4" s="24">
        <v>19.100000000000001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32.4</v>
      </c>
      <c r="G5" s="24">
        <v>54</v>
      </c>
      <c r="H5" s="24" t="s">
        <v>35</v>
      </c>
      <c r="I5" s="24" t="e">
        <v>#N/A</v>
      </c>
      <c r="J5" s="24" t="s">
        <v>79</v>
      </c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80</v>
      </c>
      <c r="E6" s="24" t="s">
        <v>80</v>
      </c>
      <c r="F6" s="24">
        <v>24.6</v>
      </c>
      <c r="G6" s="24">
        <v>97</v>
      </c>
      <c r="H6" s="24" t="s">
        <v>45</v>
      </c>
      <c r="I6" s="24" t="s">
        <v>72</v>
      </c>
      <c r="J6" s="24" t="s">
        <v>91</v>
      </c>
      <c r="M6" s="3"/>
    </row>
    <row r="7" spans="1:15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30.9</v>
      </c>
      <c r="G7" s="24">
        <v>63</v>
      </c>
      <c r="H7" s="24" t="s">
        <v>35</v>
      </c>
      <c r="I7" s="24" t="s">
        <v>55</v>
      </c>
      <c r="J7" s="24">
        <v>9.4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 t="s">
        <v>87</v>
      </c>
      <c r="G8" s="24">
        <v>67</v>
      </c>
      <c r="H8" s="24" t="s">
        <v>35</v>
      </c>
      <c r="I8" s="24" t="s">
        <v>55</v>
      </c>
      <c r="J8" s="24" t="s">
        <v>92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>
        <v>29.5</v>
      </c>
      <c r="G9" s="24">
        <v>72</v>
      </c>
      <c r="H9" s="24" t="s">
        <v>35</v>
      </c>
      <c r="I9" s="24" t="s">
        <v>57</v>
      </c>
      <c r="J9" s="24">
        <v>6.8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31.8</v>
      </c>
      <c r="G10" s="24">
        <v>71</v>
      </c>
      <c r="H10" s="24" t="s">
        <v>34</v>
      </c>
      <c r="I10" s="24" t="s">
        <v>72</v>
      </c>
      <c r="J10" s="24" t="s">
        <v>91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28.5</v>
      </c>
      <c r="G11" s="24">
        <v>69</v>
      </c>
      <c r="H11" s="24" t="s">
        <v>35</v>
      </c>
      <c r="I11" s="24" t="s">
        <v>57</v>
      </c>
      <c r="J11" s="24">
        <v>12.6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76</v>
      </c>
      <c r="F12" s="24">
        <v>25.4</v>
      </c>
      <c r="G12" s="24">
        <v>76</v>
      </c>
      <c r="H12" s="24" t="s">
        <v>35</v>
      </c>
      <c r="I12" s="24" t="s">
        <v>55</v>
      </c>
      <c r="J12" s="24">
        <v>6.8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29.2</v>
      </c>
      <c r="G13" s="24">
        <v>70</v>
      </c>
      <c r="H13" s="24" t="s">
        <v>35</v>
      </c>
      <c r="I13" s="24" t="s">
        <v>55</v>
      </c>
      <c r="J13" s="24">
        <v>27.7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>
        <v>28.9</v>
      </c>
      <c r="G14" s="24">
        <v>76</v>
      </c>
      <c r="H14" s="24" t="s">
        <v>35</v>
      </c>
      <c r="I14" s="24" t="s">
        <v>57</v>
      </c>
      <c r="J14" s="24">
        <v>7.2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 t="s">
        <v>88</v>
      </c>
      <c r="G15" s="24">
        <v>77</v>
      </c>
      <c r="H15" s="24" t="s">
        <v>33</v>
      </c>
      <c r="I15" s="24" t="s">
        <v>55</v>
      </c>
      <c r="J15" s="24">
        <v>14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81</v>
      </c>
      <c r="E16" s="24" t="s">
        <v>82</v>
      </c>
      <c r="F16" s="24">
        <v>15.1</v>
      </c>
      <c r="G16" s="24">
        <v>99</v>
      </c>
      <c r="H16" s="24" t="s">
        <v>37</v>
      </c>
      <c r="I16" s="24" t="s">
        <v>58</v>
      </c>
      <c r="J16" s="24">
        <v>16.2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86</v>
      </c>
      <c r="D17" s="24" t="s">
        <v>76</v>
      </c>
      <c r="E17" s="24" t="s">
        <v>76</v>
      </c>
      <c r="F17" s="24">
        <v>30.1</v>
      </c>
      <c r="G17" s="24">
        <v>71</v>
      </c>
      <c r="H17" s="24" t="s">
        <v>35</v>
      </c>
      <c r="I17" s="24" t="s">
        <v>55</v>
      </c>
      <c r="J17" s="24">
        <v>9.4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86</v>
      </c>
      <c r="D18" s="24" t="s">
        <v>83</v>
      </c>
      <c r="E18" s="24" t="s">
        <v>83</v>
      </c>
      <c r="F18" s="24">
        <v>19.3</v>
      </c>
      <c r="G18" s="24">
        <v>97</v>
      </c>
      <c r="H18" s="24" t="s">
        <v>45</v>
      </c>
      <c r="I18" s="24" t="s">
        <v>58</v>
      </c>
      <c r="J18" s="24">
        <v>10.8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86</v>
      </c>
      <c r="D19" s="24" t="s">
        <v>77</v>
      </c>
      <c r="E19" s="24" t="s">
        <v>77</v>
      </c>
      <c r="F19" s="24" t="s">
        <v>89</v>
      </c>
      <c r="G19" s="24">
        <v>66</v>
      </c>
      <c r="H19" s="24" t="s">
        <v>37</v>
      </c>
      <c r="I19" s="24" t="s">
        <v>58</v>
      </c>
      <c r="J19" s="24">
        <v>7.9</v>
      </c>
    </row>
    <row r="20" spans="1:15" ht="16.5" customHeight="1" x14ac:dyDescent="0.25">
      <c r="A20" s="1">
        <v>43486</v>
      </c>
      <c r="B20" s="2" t="s">
        <v>23</v>
      </c>
      <c r="C20" s="26" t="s">
        <v>86</v>
      </c>
      <c r="D20" s="24" t="s">
        <v>76</v>
      </c>
      <c r="E20" s="24" t="s">
        <v>77</v>
      </c>
      <c r="F20" s="24">
        <v>27.4</v>
      </c>
      <c r="G20" s="24">
        <v>80</v>
      </c>
      <c r="H20" s="24" t="s">
        <v>33</v>
      </c>
      <c r="I20" s="24" t="s">
        <v>59</v>
      </c>
      <c r="J20" s="24">
        <v>7.2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86</v>
      </c>
      <c r="D21" s="24" t="s">
        <v>78</v>
      </c>
      <c r="E21" s="24" t="s">
        <v>78</v>
      </c>
      <c r="F21" s="24" t="s">
        <v>89</v>
      </c>
      <c r="G21" s="24">
        <v>87</v>
      </c>
      <c r="H21" s="24" t="s">
        <v>45</v>
      </c>
      <c r="I21" s="24" t="s">
        <v>57</v>
      </c>
      <c r="J21" s="24">
        <v>31.3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86</v>
      </c>
      <c r="D22" s="24" t="s">
        <v>76</v>
      </c>
      <c r="E22" s="24" t="s">
        <v>76</v>
      </c>
      <c r="F22" s="24">
        <v>29.5</v>
      </c>
      <c r="G22" s="24">
        <v>61</v>
      </c>
      <c r="H22" s="24" t="s">
        <v>35</v>
      </c>
      <c r="I22" s="24" t="s">
        <v>57</v>
      </c>
      <c r="J22" s="24">
        <v>10.1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 t="s">
        <v>87</v>
      </c>
      <c r="G23" s="24">
        <v>88</v>
      </c>
      <c r="H23" s="24" t="s">
        <v>35</v>
      </c>
      <c r="I23" s="24" t="s">
        <v>61</v>
      </c>
      <c r="J23" s="24">
        <v>18.2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86</v>
      </c>
      <c r="D24" s="24" t="s">
        <v>76</v>
      </c>
      <c r="E24" s="24" t="s">
        <v>76</v>
      </c>
      <c r="F24" s="24">
        <v>31.3</v>
      </c>
      <c r="G24" s="24">
        <v>58</v>
      </c>
      <c r="H24" s="24" t="s">
        <v>35</v>
      </c>
      <c r="I24" s="24" t="s">
        <v>61</v>
      </c>
      <c r="J24" s="24">
        <v>16.600000000000001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86</v>
      </c>
      <c r="D25" s="24" t="s">
        <v>84</v>
      </c>
      <c r="E25" s="24" t="s">
        <v>85</v>
      </c>
      <c r="F25" s="24">
        <v>26.6</v>
      </c>
      <c r="G25" s="24">
        <v>89</v>
      </c>
      <c r="H25" s="24" t="s">
        <v>45</v>
      </c>
      <c r="I25" s="24" t="e">
        <v>#N/A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I1:I6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5</v>
      </c>
      <c r="E2" s="3" t="str">
        <f>VLOOKUP(D2,$G$1:$H$19,2,FALSE)</f>
        <v>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 t="s">
        <v>79</v>
      </c>
      <c r="D5" s="25">
        <v>5</v>
      </c>
      <c r="E5" s="3" t="str">
        <f t="shared" si="1"/>
        <v>cloudy</v>
      </c>
      <c r="F5" s="3" t="e">
        <f>Sheet4!L4</f>
        <v>#N/A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11</v>
      </c>
      <c r="E6" s="3" t="str">
        <f t="shared" si="1"/>
        <v>showers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218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6</v>
      </c>
      <c r="E10" s="3" t="str">
        <f t="shared" si="1"/>
        <v>partlycloudy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9</v>
      </c>
      <c r="E15" s="3" t="str">
        <f t="shared" si="1"/>
        <v>haze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11</v>
      </c>
      <c r="E18" s="3" t="str">
        <f t="shared" si="1"/>
        <v>showers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4</v>
      </c>
      <c r="E19" s="3" t="str">
        <f t="shared" si="1"/>
        <v>drizzling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311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79</v>
      </c>
      <c r="D25" s="25">
        <v>11</v>
      </c>
      <c r="E25" s="3" t="str">
        <f t="shared" si="1"/>
        <v>showers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 t="str">
        <f>Sheet2!C5</f>
        <v>NA</v>
      </c>
      <c r="L4" t="e">
        <f t="shared" si="0"/>
        <v>#N/A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311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2026-08-02T12:42:29Z</dcterms:modified>
</cp:coreProperties>
</file>