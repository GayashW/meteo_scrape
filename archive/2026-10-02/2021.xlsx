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B4A5474D-C800-4DAD-B982-F251B7EBA5A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<sst xmlns="http://schemas.openxmlformats.org/spreadsheetml/2006/main" count="656" uniqueCount="104">
  <si>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</si>
  <si>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</si>
  <si>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</si>
  <si>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</si>
  <si>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</si>
  <si>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</si>
  <si>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</si>
  <si>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</si>
  <si>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</si>
  <si>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</si>
  <si>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</si>
  <si>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</si>
  <si>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</si>
  <si>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</si>
  <si>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</si>
  <si>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</si>
  <si>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</si>
  <si>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</si>
  <si>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</si>
  <si>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</si>
  <si>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</si>
  <si>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</si>
  <si>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</si>
  <si>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</si>
  <si>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</si>
  <si>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</si>
  <si>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</si>
  <si>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</si>
  <si>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</si>
  <si>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</si>
  <si>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</si>
  <si>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</si>
  <si>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</si>
  <si>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</si>
  <si>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</si>
  <si>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</si>
  <si>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</si>
  <si>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</si>
  <si>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</si>
  <si>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</si>
  <si>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</si>
  <si>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</si>
  <si>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</si>
  <si>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</si>
  <si>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</si>
  <si>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</si>
  <si>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</si>
  <si>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</si>
  <si>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</si>
  <si>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</si>
  <si>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</si>
  <si>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</si>
  <si>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</si>
  <si>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</si>
  <si>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</si>
  <si>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</si>
  <si>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</si>
  <si>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</si>
  <si>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</si>
  <si>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</si>
  <si>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</si>
  <si>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</si>
  <si>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</si>
  <si>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</si>
  <si>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</si>
  <si>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</si>
  <si>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</si>
  <si>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</si>
  <si>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</si>
  <si>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</si>
  <si>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</si>
  <si>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</si>
  <si>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</si>
  <si>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</si>
  <si>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</si>
  <si>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</si>
  <si>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</si>
  <si>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</si>
  <si>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</si>
  <si>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</si>
  <si>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</si>
  <si>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6.0</t>
  </si>
  <si>
    <t>2026-10-02 1730</t>
  </si>
  <si>
    <t>2026-10-02 2030</t>
  </si>
  <si>
    <t>Trace</t>
  </si>
  <si>
    <t>2.4</t>
  </si>
  <si>
    <t>36.5</t>
  </si>
  <si>
    <t>1.1</t>
  </si>
  <si>
    <t>24.0</t>
  </si>
  <si>
    <t>4.3</t>
  </si>
  <si>
    <t>2.9</t>
  </si>
  <si>
    <t>1015.0</t>
  </si>
  <si>
    <t>19.0</t>
  </si>
  <si>
    <t>2026-10-02 2330</t>
  </si>
  <si>
    <t>0.6</t>
  </si>
  <si>
    <t>3.0</t>
  </si>
  <si>
    <t>2.5</t>
  </si>
  <si>
    <t>35.8</t>
  </si>
  <si>
    <t>25.0</t>
  </si>
  <si>
    <t>9.4</t>
  </si>
  <si>
    <t>4.7</t>
  </si>
  <si>
    <t>2.0</t>
  </si>
  <si>
    <t>3.2</t>
  </si>
  <si>
    <t>1016.0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</si>
</sst>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K32" sqref="K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43413</v>
      </c>
      <c r="B2" s="2" t="s">
        <v>9</v>
      </c>
      <c r="C2" s="25" t="s">
        <v>93</v>
      </c>
      <c r="D2" s="35" t="s">
        <v>84</v>
      </c>
      <c r="E2" s="35" t="s">
        <v>85</v>
      </c>
      <c r="F2" s="24">
        <v>27.5</v>
      </c>
      <c r="G2" s="24">
        <v>87</v>
      </c>
      <c r="H2" s="35" t="s">
        <v>36</v>
      </c>
      <c r="I2" s="35" t="s">
        <v>71</v>
      </c>
      <c r="J2" s="24" t="s">
        <v>99</v>
      </c>
      <c r="K2" s="24">
        <v>6</v>
      </c>
      <c r="L2" s="24">
        <v>1014.8</v>
      </c>
      <c r="M2" s="24">
        <v>25.3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79</v>
      </c>
      <c r="E3" s="35" t="s">
        <v>79</v>
      </c>
      <c r="F3" s="24">
        <v>27.4</v>
      </c>
      <c r="G3" s="24">
        <v>87</v>
      </c>
      <c r="H3" s="35" t="s">
        <v>38</v>
      </c>
      <c r="I3" s="35" t="s">
        <v>66</v>
      </c>
      <c r="J3" s="24" t="s">
        <v>79</v>
      </c>
      <c r="K3" s="24">
        <v>0</v>
      </c>
      <c r="L3" s="24" t="s">
        <v>91</v>
      </c>
      <c r="M3" s="24">
        <v>25.1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 t="s">
        <v>79</v>
      </c>
      <c r="F4" s="24">
        <v>26.4</v>
      </c>
      <c r="G4" s="24">
        <v>89</v>
      </c>
      <c r="H4" s="35" t="s">
        <v>36</v>
      </c>
      <c r="I4" s="35" t="s">
        <v>72</v>
      </c>
      <c r="J4" s="24">
        <v>1.8</v>
      </c>
      <c r="K4" s="24">
        <v>5</v>
      </c>
      <c r="L4" s="24">
        <v>1015.1</v>
      </c>
      <c r="M4" s="24">
        <v>24.1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89</v>
      </c>
      <c r="E5" s="35">
        <v>9.3000000000000007</v>
      </c>
      <c r="F5" s="24">
        <v>25.6</v>
      </c>
      <c r="G5" s="24">
        <v>95</v>
      </c>
      <c r="H5" s="35" t="s">
        <v>36</v>
      </c>
      <c r="I5" s="35" t="s">
        <v>57</v>
      </c>
      <c r="J5" s="24">
        <v>2.2000000000000002</v>
      </c>
      <c r="K5" s="24">
        <v>6</v>
      </c>
      <c r="L5" s="24">
        <v>1014.7</v>
      </c>
      <c r="M5" s="24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 t="s">
        <v>79</v>
      </c>
      <c r="F6" s="24">
        <v>28.8</v>
      </c>
      <c r="G6" s="24">
        <v>80</v>
      </c>
      <c r="H6" s="35" t="s">
        <v>36</v>
      </c>
      <c r="I6" s="35" t="s">
        <v>66</v>
      </c>
      <c r="J6" s="24" t="s">
        <v>79</v>
      </c>
      <c r="K6" s="24">
        <v>4</v>
      </c>
      <c r="L6" s="24">
        <v>1014.3</v>
      </c>
      <c r="M6" s="24">
        <v>24.9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94</v>
      </c>
      <c r="E7" s="35">
        <v>0.6</v>
      </c>
      <c r="F7" s="24">
        <v>25.5</v>
      </c>
      <c r="G7" s="24">
        <v>94</v>
      </c>
      <c r="H7" s="35" t="s">
        <v>45</v>
      </c>
      <c r="I7" s="35" t="s">
        <v>72</v>
      </c>
      <c r="J7" s="24">
        <v>2.9</v>
      </c>
      <c r="K7" s="24">
        <v>7</v>
      </c>
      <c r="L7" s="24">
        <v>1014.9</v>
      </c>
      <c r="M7" s="24">
        <v>24.5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95</v>
      </c>
      <c r="E8" s="35">
        <v>6.9</v>
      </c>
      <c r="F8" s="24">
        <v>23.4</v>
      </c>
      <c r="G8" s="24">
        <v>93</v>
      </c>
      <c r="H8" s="35" t="s">
        <v>41</v>
      </c>
      <c r="I8" s="35" t="s">
        <v>68</v>
      </c>
      <c r="J8" s="24">
        <v>2.5</v>
      </c>
      <c r="K8" s="24">
        <v>8</v>
      </c>
      <c r="L8" s="24">
        <v>1014.5</v>
      </c>
      <c r="M8" s="24">
        <v>22.2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84</v>
      </c>
      <c r="E9" s="35">
        <v>2.1</v>
      </c>
      <c r="F9" s="24">
        <v>25.5</v>
      </c>
      <c r="G9" s="24">
        <v>90</v>
      </c>
      <c r="H9" s="35" t="s">
        <v>45</v>
      </c>
      <c r="I9" s="35" t="s">
        <v>62</v>
      </c>
      <c r="J9" s="24">
        <v>7.2</v>
      </c>
      <c r="K9" s="24">
        <v>8</v>
      </c>
      <c r="L9" s="24">
        <v>1015.6</v>
      </c>
      <c r="M9" s="24">
        <v>23.8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96</v>
      </c>
      <c r="E10" s="35">
        <v>8.6999999999999993</v>
      </c>
      <c r="F10" s="24">
        <v>25.3</v>
      </c>
      <c r="G10" s="24">
        <v>93</v>
      </c>
      <c r="H10" s="35" t="s">
        <v>35</v>
      </c>
      <c r="I10" s="35" t="s">
        <v>70</v>
      </c>
      <c r="J10" s="24" t="s">
        <v>100</v>
      </c>
      <c r="K10" s="24">
        <v>8</v>
      </c>
      <c r="L10" s="24">
        <v>1015.7</v>
      </c>
      <c r="M10" s="24">
        <v>24.4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79</v>
      </c>
      <c r="E11" s="35">
        <v>28.1</v>
      </c>
      <c r="F11" s="24">
        <v>25.1</v>
      </c>
      <c r="G11" s="24">
        <v>92</v>
      </c>
      <c r="H11" s="35" t="s">
        <v>35</v>
      </c>
      <c r="I11" s="35" t="s">
        <v>71</v>
      </c>
      <c r="J11" s="24" t="s">
        <v>101</v>
      </c>
      <c r="K11" s="24">
        <v>8</v>
      </c>
      <c r="L11" s="24">
        <v>1015.7</v>
      </c>
      <c r="M11" s="24">
        <v>23.7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79</v>
      </c>
      <c r="E12" s="35" t="s">
        <v>79</v>
      </c>
      <c r="F12" s="24">
        <v>15.6</v>
      </c>
      <c r="G12" s="24">
        <v>95</v>
      </c>
      <c r="H12" s="35" t="s">
        <v>38</v>
      </c>
      <c r="I12" s="35" t="s">
        <v>70</v>
      </c>
      <c r="J12" s="24" t="s">
        <v>102</v>
      </c>
      <c r="K12" s="24">
        <v>2</v>
      </c>
      <c r="L12" s="24" t="s">
        <v>78</v>
      </c>
      <c r="M12" s="24">
        <v>14.6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79</v>
      </c>
      <c r="E13" s="35">
        <v>8.4</v>
      </c>
      <c r="F13" s="24">
        <v>24.6</v>
      </c>
      <c r="G13" s="24">
        <v>97</v>
      </c>
      <c r="H13" s="35" t="s">
        <v>43</v>
      </c>
      <c r="I13" s="35" t="s">
        <v>61</v>
      </c>
      <c r="J13" s="24" t="s">
        <v>90</v>
      </c>
      <c r="K13" s="24">
        <v>7</v>
      </c>
      <c r="L13" s="24">
        <v>1015.4</v>
      </c>
      <c r="M13" s="24">
        <v>24.1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97</v>
      </c>
      <c r="E14" s="35">
        <v>39.700000000000003</v>
      </c>
      <c r="F14" s="24" t="s">
        <v>98</v>
      </c>
      <c r="G14" s="24">
        <v>93</v>
      </c>
      <c r="H14" s="35" t="s">
        <v>51</v>
      </c>
      <c r="I14" s="35" t="s">
        <v>74</v>
      </c>
      <c r="J14" s="24">
        <v>7.2</v>
      </c>
      <c r="K14" s="24">
        <v>6</v>
      </c>
      <c r="L14" s="24" t="s">
        <v>103</v>
      </c>
      <c r="M14" s="24">
        <v>23.8</v>
      </c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79</v>
      </c>
      <c r="F15" s="24">
        <v>25.7</v>
      </c>
      <c r="G15" s="24">
        <v>87</v>
      </c>
      <c r="H15" s="35" t="s">
        <v>36</v>
      </c>
      <c r="I15" s="35" t="s">
        <v>74</v>
      </c>
      <c r="J15" s="24">
        <v>5.4</v>
      </c>
      <c r="K15" s="24">
        <v>5</v>
      </c>
      <c r="L15" s="24">
        <v>1015.2</v>
      </c>
      <c r="M15" s="24">
        <v>23.7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 t="s">
        <v>79</v>
      </c>
      <c r="F16" s="24">
        <v>24.5</v>
      </c>
      <c r="G16" s="24">
        <v>95</v>
      </c>
      <c r="H16" s="35" t="s">
        <v>38</v>
      </c>
      <c r="I16" s="35" t="s">
        <v>66</v>
      </c>
      <c r="J16" s="24" t="s">
        <v>79</v>
      </c>
      <c r="K16" s="24">
        <v>1</v>
      </c>
      <c r="L16" s="24">
        <v>1015.7</v>
      </c>
      <c r="M16" s="24">
        <v>23.7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83</v>
      </c>
      <c r="D17" s="35" t="s">
        <v>79</v>
      </c>
      <c r="E17" s="35" t="s">
        <v>79</v>
      </c>
      <c r="F17" s="24">
        <v>28.4</v>
      </c>
      <c r="G17" s="24">
        <v>90</v>
      </c>
      <c r="H17" s="35" t="s">
        <v>38</v>
      </c>
      <c r="I17" s="35" t="s">
        <v>62</v>
      </c>
      <c r="J17" s="24" t="s">
        <v>89</v>
      </c>
      <c r="K17" s="24">
        <v>1</v>
      </c>
      <c r="L17" s="24">
        <v>1014.7</v>
      </c>
      <c r="M17" s="24">
        <v>26.5</v>
      </c>
    </row>
    <row r="18" spans="1:15" ht="15.75" customHeight="1" x14ac:dyDescent="0.25">
      <c r="A18" s="3">
        <v>43410</v>
      </c>
      <c r="B18" s="3" t="s">
        <v>8</v>
      </c>
      <c r="C18" s="25" t="s">
        <v>83</v>
      </c>
      <c r="D18" s="35" t="s">
        <v>79</v>
      </c>
      <c r="E18" s="35" t="s">
        <v>79</v>
      </c>
      <c r="F18" s="24">
        <v>29.2</v>
      </c>
      <c r="G18" s="24">
        <v>76</v>
      </c>
      <c r="H18" s="35" t="s">
        <v>38</v>
      </c>
      <c r="I18" s="35" t="s">
        <v>69</v>
      </c>
      <c r="J18" s="24" t="s">
        <v>81</v>
      </c>
      <c r="K18" s="24">
        <v>2</v>
      </c>
      <c r="L18" s="24">
        <v>1014.7</v>
      </c>
      <c r="M18" s="24">
        <v>24.6</v>
      </c>
    </row>
    <row r="19" spans="1:15" ht="15.75" customHeight="1" x14ac:dyDescent="0.25">
      <c r="A19" s="1">
        <v>43422</v>
      </c>
      <c r="B19" s="1" t="s">
        <v>13</v>
      </c>
      <c r="C19" s="25" t="s">
        <v>83</v>
      </c>
      <c r="D19" s="35" t="s">
        <v>86</v>
      </c>
      <c r="E19" s="35">
        <v>36.5</v>
      </c>
      <c r="F19" s="24" t="s">
        <v>88</v>
      </c>
      <c r="G19" s="24">
        <v>97</v>
      </c>
      <c r="H19" s="35" t="s">
        <v>51</v>
      </c>
      <c r="I19" s="35" t="s">
        <v>66</v>
      </c>
      <c r="J19" s="24">
        <v>0.7</v>
      </c>
      <c r="K19" s="24">
        <v>7</v>
      </c>
      <c r="L19" s="24">
        <v>1015.2</v>
      </c>
      <c r="M19" s="24">
        <v>23.5</v>
      </c>
      <c r="N19" s="24"/>
      <c r="O19" s="24"/>
    </row>
    <row r="20" spans="1:15" ht="15.75" customHeight="1" x14ac:dyDescent="0.25">
      <c r="A20" s="1">
        <v>43476</v>
      </c>
      <c r="B20" s="1" t="s">
        <v>21</v>
      </c>
      <c r="C20" s="25" t="s">
        <v>83</v>
      </c>
      <c r="D20" s="35" t="s">
        <v>79</v>
      </c>
      <c r="E20" s="35">
        <v>1.6</v>
      </c>
      <c r="F20" s="24">
        <v>19.600000000000001</v>
      </c>
      <c r="G20" s="24">
        <v>96</v>
      </c>
      <c r="H20" s="35" t="s">
        <v>36</v>
      </c>
      <c r="I20" s="35" t="s">
        <v>71</v>
      </c>
      <c r="J20" s="24">
        <v>3.6</v>
      </c>
      <c r="K20" s="24">
        <v>5</v>
      </c>
      <c r="L20" s="24" t="s">
        <v>78</v>
      </c>
      <c r="M20" s="24" t="s">
        <v>92</v>
      </c>
      <c r="N20" s="24"/>
      <c r="O20" s="24"/>
    </row>
    <row r="21" spans="1:15" ht="15.75" customHeight="1" x14ac:dyDescent="0.25">
      <c r="A21" s="1">
        <v>43475</v>
      </c>
      <c r="B21" s="2" t="s">
        <v>26</v>
      </c>
      <c r="C21" s="25" t="s">
        <v>83</v>
      </c>
      <c r="D21" s="35" t="s">
        <v>79</v>
      </c>
      <c r="E21" s="35" t="s">
        <v>79</v>
      </c>
      <c r="F21" s="24">
        <v>29.2</v>
      </c>
      <c r="G21" s="24">
        <v>76</v>
      </c>
      <c r="H21" s="35" t="s">
        <v>38</v>
      </c>
      <c r="I21" s="35" t="s">
        <v>72</v>
      </c>
      <c r="J21" s="24" t="s">
        <v>90</v>
      </c>
      <c r="K21" s="24">
        <v>2</v>
      </c>
      <c r="L21" s="24">
        <v>1014.9</v>
      </c>
      <c r="M21" s="24">
        <v>23.7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83</v>
      </c>
      <c r="D22" s="35" t="s">
        <v>87</v>
      </c>
      <c r="E22" s="35">
        <v>1.1000000000000001</v>
      </c>
      <c r="F22" s="24">
        <v>25.6</v>
      </c>
      <c r="G22" s="24">
        <v>88</v>
      </c>
      <c r="H22" s="35" t="s">
        <v>45</v>
      </c>
      <c r="I22" s="35" t="s">
        <v>66</v>
      </c>
      <c r="J22" s="24" t="s">
        <v>79</v>
      </c>
      <c r="K22" s="24">
        <v>7</v>
      </c>
      <c r="L22" s="24">
        <v>1016.1</v>
      </c>
      <c r="M22" s="24">
        <v>23.6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83</v>
      </c>
      <c r="D23" s="35" t="s">
        <v>79</v>
      </c>
      <c r="E23" s="35" t="s">
        <v>79</v>
      </c>
      <c r="F23" s="24">
        <v>27.9</v>
      </c>
      <c r="G23" s="24">
        <v>78</v>
      </c>
      <c r="H23" s="35" t="s">
        <v>38</v>
      </c>
      <c r="I23" s="35" t="s">
        <v>66</v>
      </c>
      <c r="J23" s="24" t="s">
        <v>79</v>
      </c>
      <c r="K23" s="24">
        <v>3</v>
      </c>
      <c r="L23" s="24">
        <v>1014.4</v>
      </c>
      <c r="M23" s="24">
        <v>23.7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35">
        <v>30.2</v>
      </c>
      <c r="G24" s="35">
        <v>73</v>
      </c>
      <c r="H24" s="35" t="s">
        <v>34</v>
      </c>
      <c r="I24" s="35" t="s">
        <v>66</v>
      </c>
      <c r="J24" s="35" t="s">
        <v>79</v>
      </c>
      <c r="K24" s="35">
        <v>7</v>
      </c>
      <c r="L24" s="35">
        <v>1012.1</v>
      </c>
      <c r="M24" s="35">
        <v>24.8</v>
      </c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 t="s">
        <v>79</v>
      </c>
      <c r="E25" s="35">
        <v>0.7</v>
      </c>
      <c r="F25" s="35">
        <v>24.5</v>
      </c>
      <c r="G25" s="35">
        <v>81</v>
      </c>
      <c r="H25" s="35" t="s">
        <v>34</v>
      </c>
      <c r="I25" s="35" t="s">
        <v>59</v>
      </c>
      <c r="J25" s="35">
        <v>3.2</v>
      </c>
      <c r="K25" s="35">
        <v>7</v>
      </c>
      <c r="L25" s="35" t="s">
        <v>78</v>
      </c>
      <c r="M25" s="35">
        <v>21.1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8:I18 H20:I20 H1:I1 H25:I25 H22:I2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125</v>
      </c>
      <c r="D2">
        <v>16</v>
      </c>
      <c r="E2" s="3" t="str">
        <f>VLOOKUP(D2,$G$1:$H$19,2,FALSE)</f>
        <v>partlycloudynight</v>
      </c>
      <c r="F2" s="3" t="str">
        <f>Sheet4!L1</f>
        <v>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189</v>
      </c>
      <c r="D4">
        <v>16</v>
      </c>
      <c r="E4" s="3" t="str">
        <f t="shared" si="1"/>
        <v>partlycloudynight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11</v>
      </c>
      <c r="E7" s="3" t="str">
        <f t="shared" si="1"/>
        <v>showers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30</v>
      </c>
      <c r="D8">
        <v>12</v>
      </c>
      <c r="E8" s="3" t="str">
        <f t="shared" si="1"/>
        <v>thundershowers</v>
      </c>
      <c r="F8" s="3" t="str">
        <f>Sheet4!L7</f>
        <v>NNE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80</v>
      </c>
      <c r="D9">
        <v>11</v>
      </c>
      <c r="E9" s="3" t="str">
        <f t="shared" si="1"/>
        <v>showers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108</v>
      </c>
      <c r="D10">
        <v>5</v>
      </c>
      <c r="E10" s="3" t="str">
        <f t="shared" si="1"/>
        <v>cloudy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5</v>
      </c>
      <c r="E11" s="3" t="str">
        <f t="shared" si="1"/>
        <v>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120</v>
      </c>
      <c r="D12">
        <v>13</v>
      </c>
      <c r="E12" s="3" t="str">
        <f t="shared" si="1"/>
        <v>fairnight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275</v>
      </c>
      <c r="D13">
        <v>7</v>
      </c>
      <c r="E13" s="3" t="str">
        <f t="shared" si="1"/>
        <v>mist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337</v>
      </c>
      <c r="D14">
        <v>18</v>
      </c>
      <c r="E14" s="3" t="str">
        <f t="shared" si="1"/>
        <v>thunderstormsnight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332</v>
      </c>
      <c r="D15">
        <v>16</v>
      </c>
      <c r="E15" s="3" t="str">
        <f t="shared" si="1"/>
        <v>partlycloudynight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</v>
      </c>
      <c r="D17">
        <v>13</v>
      </c>
      <c r="E17" s="3" t="str">
        <f t="shared" si="1"/>
        <v>fairnight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238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338</v>
      </c>
      <c r="D19">
        <v>5</v>
      </c>
      <c r="E19" s="3" t="str">
        <f t="shared" si="1"/>
        <v>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177</v>
      </c>
      <c r="D20">
        <v>13</v>
      </c>
      <c r="E20" s="3" t="str">
        <f t="shared" si="1"/>
        <v>fairnight</v>
      </c>
      <c r="F20" s="3" t="str">
        <f>Sheet4!L19</f>
        <v>S</v>
      </c>
    </row>
    <row r="21" spans="1:14" x14ac:dyDescent="0.25">
      <c r="A21" s="32">
        <v>43497</v>
      </c>
      <c r="B21" s="34" t="s">
        <v>25</v>
      </c>
      <c r="C21">
        <v>0</v>
      </c>
      <c r="D21">
        <v>16</v>
      </c>
      <c r="E21" s="3" t="str">
        <f t="shared" si="1"/>
        <v>partlycloudynight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0</v>
      </c>
      <c r="D22">
        <v>11</v>
      </c>
      <c r="E22" s="3" t="str">
        <f t="shared" si="1"/>
        <v>showers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125</v>
      </c>
      <c r="L1" t="str">
        <f>VLOOKUP(K1,A$2:B$363,2,FALSE)</f>
        <v>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189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30</v>
      </c>
      <c r="L7" t="str">
        <f t="shared" si="0"/>
        <v>NNE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80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108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120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275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337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332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</v>
      </c>
      <c r="L16" t="str">
        <f t="shared" si="0"/>
        <v>N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238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338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177</v>
      </c>
      <c r="L19" t="str">
        <f t="shared" si="0"/>
        <v>S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2026-10-02T19:16:48Z</dcterms:modified>
</cp:coreProperties>
</file>