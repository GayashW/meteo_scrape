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F49BEF10-188E-44C5-B69B-1EFF9BAFB59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<sst xmlns="http://schemas.openxmlformats.org/spreadsheetml/2006/main" count="655" uniqueCount="90">
  <si>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</si>
  <si>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</si>
  <si>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</si>
  <si>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</si>
  <si>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</si>
  <si>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</si>
  <si>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</si>
  <si>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</si>
  <si>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</si>
  <si>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</si>
  <si>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</si>
  <si>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</si>
  <si>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</si>
  <si>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</si>
  <si>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</si>
  <si>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</si>
  <si>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</si>
  <si>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</si>
  <si>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</si>
  <si>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</si>
  <si>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</si>
  <si>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</si>
  <si>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</si>
  <si>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</si>
  <si>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</si>
  <si>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</si>
  <si>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</si>
  <si>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</si>
  <si>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</si>
  <si>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</si>
  <si>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</si>
  <si>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</si>
  <si>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</si>
  <si>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</si>
  <si>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</si>
  <si>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</si>
  <si>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</si>
  <si>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</si>
  <si>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</si>
  <si>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</si>
  <si>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</si>
  <si>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</si>
  <si>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</si>
  <si>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</si>
  <si>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</si>
  <si>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</si>
  <si>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</si>
  <si>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</si>
  <si>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</si>
  <si>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</si>
  <si>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</si>
  <si>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</si>
  <si>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</si>
  <si>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</si>
  <si>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</si>
  <si>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</si>
  <si>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</si>
  <si>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</si>
  <si>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</si>
  <si>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</si>
  <si>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</si>
  <si>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</si>
  <si>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</si>
  <si>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</si>
  <si>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</si>
  <si>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</si>
  <si>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</si>
  <si>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</si>
  <si>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</si>
  <si>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</si>
  <si>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</si>
  <si>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</si>
  <si>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</si>
  <si>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</si>
  <si>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</si>
  <si>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</si>
  <si>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</si>
  <si>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</si>
  <si>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</si>
  <si>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</si>
  <si>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</si>
  <si>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10.0</t>
  </si>
  <si>
    <t>30.0</t>
  </si>
  <si>
    <t>2026-09-10 2030</t>
  </si>
  <si>
    <t>29.0</t>
  </si>
  <si>
    <t>28.0</t>
  </si>
  <si>
    <t>15.8</t>
  </si>
  <si>
    <t>21.0</t>
  </si>
  <si>
    <t>4.0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</si>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</sst>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P10" sqref="P1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80</v>
      </c>
      <c r="E2" s="35" t="s">
        <v>80</v>
      </c>
      <c r="F2" s="35">
        <v>29.1</v>
      </c>
      <c r="G2" s="1">
        <v>80</v>
      </c>
      <c r="H2" s="1" t="s">
        <v>38</v>
      </c>
      <c r="I2" s="1" t="s">
        <v>56</v>
      </c>
      <c r="J2" s="35">
        <v>11.52</v>
      </c>
      <c r="K2" s="1">
        <v>6</v>
      </c>
      <c r="L2" s="35">
        <v>1008.4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80</v>
      </c>
      <c r="E3" s="35" t="s">
        <v>80</v>
      </c>
      <c r="F3" s="35">
        <v>29.5</v>
      </c>
      <c r="G3" s="1">
        <v>79</v>
      </c>
      <c r="H3" s="1" t="s">
        <v>38</v>
      </c>
      <c r="I3" s="1" t="s">
        <v>69</v>
      </c>
      <c r="J3" s="35" t="s">
        <v>81</v>
      </c>
      <c r="K3" s="1">
        <v>3</v>
      </c>
      <c r="L3" s="35">
        <v>1008.9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80</v>
      </c>
      <c r="E4" s="35" t="s">
        <v>80</v>
      </c>
      <c r="F4" s="35">
        <v>28.7</v>
      </c>
      <c r="G4" s="1">
        <v>83</v>
      </c>
      <c r="H4" s="1" t="s">
        <v>38</v>
      </c>
      <c r="I4" s="1" t="s">
        <v>56</v>
      </c>
      <c r="J4" s="35">
        <v>18.7</v>
      </c>
      <c r="K4" s="1">
        <v>5</v>
      </c>
      <c r="L4" s="35">
        <v>1008.9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80</v>
      </c>
      <c r="E5" s="35" t="s">
        <v>80</v>
      </c>
      <c r="F5" s="35" t="s">
        <v>84</v>
      </c>
      <c r="G5" s="1">
        <v>68</v>
      </c>
      <c r="H5" s="1" t="s">
        <v>38</v>
      </c>
      <c r="I5" s="1" t="s">
        <v>66</v>
      </c>
      <c r="J5" s="35" t="s">
        <v>80</v>
      </c>
      <c r="K5" s="1">
        <v>2</v>
      </c>
      <c r="L5" s="35">
        <v>1009.6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80</v>
      </c>
      <c r="E6" s="35" t="s">
        <v>80</v>
      </c>
      <c r="F6" s="35">
        <v>29.7</v>
      </c>
      <c r="G6" s="1">
        <v>67</v>
      </c>
      <c r="H6" s="1" t="s">
        <v>38</v>
      </c>
      <c r="I6" s="1" t="s">
        <v>55</v>
      </c>
      <c r="J6" s="35">
        <v>3.2</v>
      </c>
      <c r="K6" s="1">
        <v>3</v>
      </c>
      <c r="L6" s="35">
        <v>1009.5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80</v>
      </c>
      <c r="E7" s="35" t="s">
        <v>80</v>
      </c>
      <c r="F7" s="35">
        <v>28.9</v>
      </c>
      <c r="G7" s="1">
        <v>68</v>
      </c>
      <c r="H7" s="1" t="s">
        <v>38</v>
      </c>
      <c r="I7" s="1" t="s">
        <v>55</v>
      </c>
      <c r="J7" s="35">
        <v>7.56</v>
      </c>
      <c r="K7" s="1">
        <v>3</v>
      </c>
      <c r="L7" s="35">
        <v>1009.3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80</v>
      </c>
      <c r="E8" s="35" t="s">
        <v>80</v>
      </c>
      <c r="F8" s="35" t="s">
        <v>85</v>
      </c>
      <c r="G8" s="1">
        <v>77</v>
      </c>
      <c r="H8" s="1" t="s">
        <v>38</v>
      </c>
      <c r="I8" s="1" t="s">
        <v>55</v>
      </c>
      <c r="J8" s="35">
        <v>13.3</v>
      </c>
      <c r="K8" s="1">
        <v>0</v>
      </c>
      <c r="L8" s="35">
        <v>1009.7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80</v>
      </c>
      <c r="E9" s="35" t="s">
        <v>80</v>
      </c>
      <c r="F9" s="35" t="s">
        <v>84</v>
      </c>
      <c r="G9" s="1">
        <v>79</v>
      </c>
      <c r="H9" s="1" t="s">
        <v>38</v>
      </c>
      <c r="I9" s="1" t="s">
        <v>57</v>
      </c>
      <c r="J9" s="35">
        <v>5.4</v>
      </c>
      <c r="K9" s="1">
        <v>4</v>
      </c>
      <c r="L9" s="35">
        <v>1009.1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80</v>
      </c>
      <c r="E10" s="35" t="s">
        <v>80</v>
      </c>
      <c r="F10" s="35" t="s">
        <v>82</v>
      </c>
      <c r="G10" s="1">
        <v>77</v>
      </c>
      <c r="H10" s="1" t="s">
        <v>38</v>
      </c>
      <c r="I10" s="1" t="s">
        <v>66</v>
      </c>
      <c r="J10" s="35" t="s">
        <v>80</v>
      </c>
      <c r="K10" s="1">
        <v>3</v>
      </c>
      <c r="L10" s="35">
        <v>1008.3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80</v>
      </c>
      <c r="E11" s="35" t="s">
        <v>80</v>
      </c>
      <c r="F11" s="35">
        <v>27.7</v>
      </c>
      <c r="G11" s="1">
        <v>80</v>
      </c>
      <c r="H11" s="1" t="s">
        <v>38</v>
      </c>
      <c r="I11" s="1" t="s">
        <v>56</v>
      </c>
      <c r="J11" s="35" t="s">
        <v>88</v>
      </c>
      <c r="K11" s="1">
        <v>5</v>
      </c>
      <c r="L11" s="35">
        <v>1009.9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80</v>
      </c>
      <c r="E12" s="35" t="s">
        <v>80</v>
      </c>
      <c r="F12" s="35">
        <v>24.6</v>
      </c>
      <c r="G12" s="1">
        <v>86</v>
      </c>
      <c r="H12" s="1" t="s">
        <v>38</v>
      </c>
      <c r="I12" s="1" t="s">
        <v>73</v>
      </c>
      <c r="J12" s="35">
        <v>1.4</v>
      </c>
      <c r="K12" s="1">
        <v>2</v>
      </c>
      <c r="L12" s="35">
        <v>1010.5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80</v>
      </c>
      <c r="E13" s="35">
        <v>3.4</v>
      </c>
      <c r="F13" s="35" t="s">
        <v>85</v>
      </c>
      <c r="G13" s="1">
        <v>85</v>
      </c>
      <c r="H13" s="1" t="s">
        <v>35</v>
      </c>
      <c r="I13" s="1" t="s">
        <v>60</v>
      </c>
      <c r="J13" s="35">
        <v>6.12</v>
      </c>
      <c r="K13" s="1">
        <v>6</v>
      </c>
      <c r="L13" s="35">
        <v>1010.7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80</v>
      </c>
      <c r="E14" s="35" t="s">
        <v>79</v>
      </c>
      <c r="F14" s="35">
        <v>29.2</v>
      </c>
      <c r="G14" s="1">
        <v>75</v>
      </c>
      <c r="H14" s="1" t="s">
        <v>38</v>
      </c>
      <c r="I14" s="1" t="s">
        <v>56</v>
      </c>
      <c r="J14" s="35">
        <v>6.48</v>
      </c>
      <c r="K14" s="1">
        <v>1</v>
      </c>
      <c r="L14" s="35" t="s">
        <v>89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80</v>
      </c>
      <c r="E15" s="35">
        <v>1.9</v>
      </c>
      <c r="F15" s="35">
        <v>28.8</v>
      </c>
      <c r="G15" s="1">
        <v>83</v>
      </c>
      <c r="H15" s="1" t="s">
        <v>38</v>
      </c>
      <c r="I15" s="1" t="s">
        <v>56</v>
      </c>
      <c r="J15" s="35">
        <v>4.3</v>
      </c>
      <c r="K15" s="1">
        <v>2</v>
      </c>
      <c r="L15" s="35">
        <v>1010.8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80</v>
      </c>
      <c r="E16" s="35" t="s">
        <v>80</v>
      </c>
      <c r="F16" s="35" t="s">
        <v>86</v>
      </c>
      <c r="G16" s="1">
        <v>90</v>
      </c>
      <c r="H16" s="1" t="s">
        <v>38</v>
      </c>
      <c r="I16" s="1" t="s">
        <v>58</v>
      </c>
      <c r="J16" s="35">
        <v>6.12</v>
      </c>
      <c r="K16" s="1">
        <v>3</v>
      </c>
      <c r="L16" s="35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 t="s">
        <v>80</v>
      </c>
      <c r="E17" s="35" t="s">
        <v>79</v>
      </c>
      <c r="F17" s="35" t="s">
        <v>87</v>
      </c>
      <c r="G17" s="1">
        <v>82</v>
      </c>
      <c r="H17" s="1" t="s">
        <v>36</v>
      </c>
      <c r="I17" s="1" t="s">
        <v>66</v>
      </c>
      <c r="J17" s="35" t="s">
        <v>80</v>
      </c>
      <c r="K17" s="1">
        <v>5</v>
      </c>
      <c r="L17" s="35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80</v>
      </c>
      <c r="E18" s="35" t="s">
        <v>80</v>
      </c>
      <c r="F18" s="35">
        <v>24.8</v>
      </c>
      <c r="G18" s="1">
        <v>75</v>
      </c>
      <c r="H18" s="1" t="s">
        <v>38</v>
      </c>
      <c r="I18" s="1" t="s">
        <v>59</v>
      </c>
      <c r="J18" s="35">
        <v>1.8</v>
      </c>
      <c r="K18" s="1">
        <v>1</v>
      </c>
      <c r="L18" s="35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80</v>
      </c>
      <c r="E19" s="35">
        <v>0.7</v>
      </c>
      <c r="F19" s="35">
        <v>26.9</v>
      </c>
      <c r="G19" s="1">
        <v>84</v>
      </c>
      <c r="H19" s="1" t="s">
        <v>40</v>
      </c>
      <c r="I19" s="1" t="s">
        <v>68</v>
      </c>
      <c r="J19" s="35">
        <v>4.68</v>
      </c>
      <c r="K19" s="1">
        <v>5</v>
      </c>
      <c r="L19" s="35">
        <v>1010.7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 t="s">
        <v>80</v>
      </c>
      <c r="E20" s="35" t="s">
        <v>80</v>
      </c>
      <c r="F20" s="35">
        <v>28.8</v>
      </c>
      <c r="G20" s="1">
        <v>83</v>
      </c>
      <c r="H20" s="1" t="s">
        <v>38</v>
      </c>
      <c r="I20" s="1" t="s">
        <v>57</v>
      </c>
      <c r="J20" s="35">
        <v>10.1</v>
      </c>
      <c r="K20" s="1">
        <v>3</v>
      </c>
      <c r="L20" s="35">
        <v>1011.2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80</v>
      </c>
      <c r="E21" s="35" t="s">
        <v>80</v>
      </c>
      <c r="F21" s="35">
        <v>28.2</v>
      </c>
      <c r="G21" s="1">
        <v>85</v>
      </c>
      <c r="H21" s="1" t="s">
        <v>38</v>
      </c>
      <c r="I21" s="1" t="s">
        <v>55</v>
      </c>
      <c r="J21" s="35">
        <v>15.84</v>
      </c>
      <c r="K21" s="1">
        <v>2</v>
      </c>
      <c r="L21" s="35">
        <v>1010.1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80</v>
      </c>
      <c r="E22" s="35">
        <v>0.5</v>
      </c>
      <c r="F22" s="35">
        <v>29.3</v>
      </c>
      <c r="G22" s="1">
        <v>71</v>
      </c>
      <c r="H22" s="1" t="s">
        <v>38</v>
      </c>
      <c r="I22" s="1" t="s">
        <v>56</v>
      </c>
      <c r="J22" s="35">
        <v>5.04</v>
      </c>
      <c r="K22" s="1">
        <v>0</v>
      </c>
      <c r="L22" s="35">
        <v>1008.8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80</v>
      </c>
      <c r="E23" s="35" t="s">
        <v>80</v>
      </c>
      <c r="F23" s="35">
        <v>28.4</v>
      </c>
      <c r="G23" s="1">
        <v>73</v>
      </c>
      <c r="H23" s="1" t="s">
        <v>36</v>
      </c>
      <c r="I23" s="1" t="s">
        <v>57</v>
      </c>
      <c r="J23" s="35">
        <v>18.399999999999999</v>
      </c>
      <c r="K23" s="1">
        <v>5</v>
      </c>
      <c r="L23" s="35">
        <v>1010.5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80</v>
      </c>
      <c r="E24" s="35">
        <v>18.600000000000001</v>
      </c>
      <c r="F24" s="35">
        <v>26.2</v>
      </c>
      <c r="G24" s="1">
        <v>91</v>
      </c>
      <c r="H24" s="1" t="s">
        <v>35</v>
      </c>
      <c r="I24" s="1" t="s">
        <v>66</v>
      </c>
      <c r="J24" s="35" t="s">
        <v>80</v>
      </c>
      <c r="K24" s="1">
        <v>6</v>
      </c>
      <c r="L24" s="35">
        <v>1010.2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80</v>
      </c>
      <c r="E25" s="35" t="s">
        <v>80</v>
      </c>
      <c r="F25" s="35">
        <v>30.3</v>
      </c>
      <c r="G25" s="1">
        <v>61</v>
      </c>
      <c r="H25" s="1" t="s">
        <v>38</v>
      </c>
      <c r="I25" s="1" t="s">
        <v>61</v>
      </c>
      <c r="J25" s="35">
        <v>10.199999999999999</v>
      </c>
      <c r="K25" s="1">
        <v>3</v>
      </c>
      <c r="L25" s="35">
        <v>1008.3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 H1:I2 M1:M25 H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I1:I2 M1:M25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195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70</v>
      </c>
      <c r="D3">
        <v>6</v>
      </c>
      <c r="E3" s="3" t="str">
        <f t="shared" ref="E3:E25" si="1">VLOOKUP(D3,$G$1:$H$19,2,FALSE)</f>
        <v>partlycloudy</v>
      </c>
      <c r="F3" s="3" t="str">
        <f>Sheet4!L2</f>
        <v>ENE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206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234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240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2</v>
      </c>
      <c r="E11" s="3" t="str">
        <f t="shared" si="1"/>
        <v>fairday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360</v>
      </c>
      <c r="D12">
        <v>2</v>
      </c>
      <c r="E12" s="3" t="str">
        <f t="shared" si="1"/>
        <v>fairday</v>
      </c>
      <c r="F12" s="3" t="str">
        <f>Sheet4!L11</f>
        <v>N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152</v>
      </c>
      <c r="D13">
        <v>2</v>
      </c>
      <c r="E13" s="3" t="str">
        <f t="shared" si="1"/>
        <v>fairday</v>
      </c>
      <c r="F13" s="3" t="str">
        <f>Sheet4!L12</f>
        <v>SSE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208</v>
      </c>
      <c r="D14">
        <v>6</v>
      </c>
      <c r="E14" s="3" t="str">
        <f t="shared" si="1"/>
        <v>partlycloudy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2</v>
      </c>
      <c r="E15" s="3" t="str">
        <f t="shared" si="1"/>
        <v>fairday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294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0</v>
      </c>
      <c r="D17">
        <v>7</v>
      </c>
      <c r="E17" s="3" t="str">
        <f t="shared" si="1"/>
        <v>mist</v>
      </c>
      <c r="F17" s="3" t="str">
        <f>Sheet4!L16</f>
        <v>CALM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311</v>
      </c>
      <c r="D18">
        <v>5</v>
      </c>
      <c r="E18" s="3" t="str">
        <f t="shared" si="1"/>
        <v>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12</v>
      </c>
      <c r="D19">
        <v>9</v>
      </c>
      <c r="E19" s="3" t="str">
        <f t="shared" si="1"/>
        <v>haze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197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195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70</v>
      </c>
      <c r="L2" t="str">
        <f t="shared" ref="L2:L24" si="0">VLOOKUP(K2,A$2:B$363,2,FALSE)</f>
        <v>ENE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206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234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360</v>
      </c>
      <c r="L11" t="str">
        <f t="shared" si="0"/>
        <v>N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152</v>
      </c>
      <c r="L12" t="str">
        <f t="shared" si="0"/>
        <v>SSE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208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294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311</v>
      </c>
      <c r="L17" t="str">
        <f t="shared" si="0"/>
        <v>NW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12</v>
      </c>
      <c r="L18" t="str">
        <f t="shared" si="0"/>
        <v>NNE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197</v>
      </c>
      <c r="L21" t="str">
        <f t="shared" si="0"/>
        <v>SSW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2026-09-10T15:33:03Z</dcterms:modified>
</cp:coreProperties>
</file>