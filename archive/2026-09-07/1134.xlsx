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A91CB28B-076E-4E4E-A2E6-D8882E7EA1D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<sst xmlns="http://schemas.openxmlformats.org/spreadsheetml/2006/main" count="653" uniqueCount="90">
  <si>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</si>
  <si>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</si>
  <si>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</si>
  <si>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</si>
  <si>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</si>
  <si>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</si>
  <si>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</si>
  <si>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</si>
  <si>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</si>
  <si>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</si>
  <si>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</si>
  <si>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</si>
  <si>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</si>
  <si>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</si>
  <si>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</si>
  <si>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</si>
  <si>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</si>
  <si>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</si>
  <si>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</si>
  <si>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</si>
  <si>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</si>
  <si>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</si>
  <si>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</si>
  <si>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</si>
  <si>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</si>
  <si>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</si>
  <si>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</si>
  <si>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</si>
  <si>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</si>
  <si>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</si>
  <si>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</si>
  <si>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</si>
  <si>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</si>
  <si>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</si>
  <si>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</si>
  <si>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</si>
  <si>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</si>
  <si>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</si>
  <si>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</si>
  <si>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</si>
  <si>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</si>
  <si>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</si>
  <si>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</si>
  <si>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</si>
  <si>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</si>
  <si>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</si>
  <si>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</si>
  <si>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</si>
  <si>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</si>
  <si>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</si>
  <si>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</si>
  <si>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</si>
  <si>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</si>
  <si>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</si>
  <si>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</si>
  <si>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</si>
  <si>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</si>
  <si>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</si>
  <si>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</si>
  <si>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</si>
  <si>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</si>
  <si>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</si>
  <si>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</si>
  <si>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</si>
  <si>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</si>
  <si>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</si>
  <si>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</si>
  <si>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</si>
  <si>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</si>
  <si>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</si>
  <si>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</si>
  <si>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</si>
  <si>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</si>
  <si>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</si>
  <si>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</si>
  <si>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</si>
  <si>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</si>
  <si>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</si>
  <si>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</si>
  <si>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</si>
  <si>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9.0</t>
  </si>
  <si>
    <t>2026-09-07 1430</t>
  </si>
  <si>
    <t>Trace</t>
  </si>
  <si>
    <t>31.0</t>
  </si>
  <si>
    <t>36.0</t>
  </si>
  <si>
    <t>32.0</t>
  </si>
  <si>
    <t>34.0</t>
  </si>
  <si>
    <t>6.0</t>
  </si>
  <si>
    <t>22.0</t>
  </si>
  <si>
    <t>28.0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</si>
</sst>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S28" sqref="S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81</v>
      </c>
      <c r="D2" s="35" t="s">
        <v>79</v>
      </c>
      <c r="E2" s="35" t="s">
        <v>79</v>
      </c>
      <c r="F2" s="24">
        <v>32.9</v>
      </c>
      <c r="G2" s="24">
        <v>60</v>
      </c>
      <c r="H2" s="24" t="s">
        <v>32</v>
      </c>
      <c r="I2" s="24" t="s">
        <v>55</v>
      </c>
      <c r="J2" s="24">
        <v>16.899999999999999</v>
      </c>
      <c r="K2" s="24">
        <v>2</v>
      </c>
      <c r="L2" s="24">
        <v>1009.4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81</v>
      </c>
      <c r="D3" s="35" t="s">
        <v>79</v>
      </c>
      <c r="E3" s="35" t="s">
        <v>79</v>
      </c>
      <c r="F3" s="24">
        <v>33.1</v>
      </c>
      <c r="G3" s="24">
        <v>59</v>
      </c>
      <c r="H3" s="24" t="s">
        <v>35</v>
      </c>
      <c r="I3" s="24" t="s">
        <v>67</v>
      </c>
      <c r="J3" s="24" t="s">
        <v>87</v>
      </c>
      <c r="K3" s="24">
        <v>7</v>
      </c>
      <c r="L3" s="24">
        <v>1008.7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81</v>
      </c>
      <c r="D4" s="35" t="s">
        <v>79</v>
      </c>
      <c r="E4" s="35" t="s">
        <v>79</v>
      </c>
      <c r="F4" s="24" t="s">
        <v>83</v>
      </c>
      <c r="G4" s="24">
        <v>72</v>
      </c>
      <c r="H4" s="24" t="s">
        <v>34</v>
      </c>
      <c r="I4" s="24" t="s">
        <v>55</v>
      </c>
      <c r="J4" s="24">
        <v>23.4</v>
      </c>
      <c r="K4" s="24">
        <v>5</v>
      </c>
      <c r="L4" s="24">
        <v>1010.1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81</v>
      </c>
      <c r="D5" s="35" t="s">
        <v>79</v>
      </c>
      <c r="E5" s="35" t="s">
        <v>79</v>
      </c>
      <c r="F5" s="24" t="s">
        <v>84</v>
      </c>
      <c r="G5" s="24">
        <v>47</v>
      </c>
      <c r="H5" s="24" t="s">
        <v>34</v>
      </c>
      <c r="I5" s="24" t="s">
        <v>55</v>
      </c>
      <c r="J5" s="24">
        <v>6.6</v>
      </c>
      <c r="K5" s="24">
        <v>6</v>
      </c>
      <c r="L5" s="24">
        <v>1009.9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81</v>
      </c>
      <c r="D6" s="35" t="s">
        <v>79</v>
      </c>
      <c r="E6" s="35" t="s">
        <v>79</v>
      </c>
      <c r="F6" s="24">
        <v>36.799999999999997</v>
      </c>
      <c r="G6" s="24">
        <v>49</v>
      </c>
      <c r="H6" s="24" t="s">
        <v>35</v>
      </c>
      <c r="I6" s="24" t="s">
        <v>72</v>
      </c>
      <c r="J6" s="24">
        <v>3.6</v>
      </c>
      <c r="K6" s="24">
        <v>7</v>
      </c>
      <c r="L6" s="24">
        <v>1009.2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81</v>
      </c>
      <c r="D7" s="35" t="s">
        <v>79</v>
      </c>
      <c r="E7" s="35" t="s">
        <v>79</v>
      </c>
      <c r="F7" s="24">
        <v>34.700000000000003</v>
      </c>
      <c r="G7" s="24">
        <v>45</v>
      </c>
      <c r="H7" s="24" t="s">
        <v>34</v>
      </c>
      <c r="I7" s="24" t="s">
        <v>57</v>
      </c>
      <c r="J7" s="24">
        <v>11.5</v>
      </c>
      <c r="K7" s="24">
        <v>4</v>
      </c>
      <c r="L7" s="24">
        <v>1009.4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81</v>
      </c>
      <c r="D8" s="35" t="s">
        <v>79</v>
      </c>
      <c r="E8" s="35" t="s">
        <v>79</v>
      </c>
      <c r="F8" s="24">
        <v>34.5</v>
      </c>
      <c r="G8" s="24">
        <v>49</v>
      </c>
      <c r="H8" s="24" t="s">
        <v>34</v>
      </c>
      <c r="I8" s="24" t="s">
        <v>55</v>
      </c>
      <c r="J8" s="24">
        <v>26.6</v>
      </c>
      <c r="K8" s="24">
        <v>5</v>
      </c>
      <c r="L8" s="24">
        <v>1009.4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81</v>
      </c>
      <c r="D9" s="35" t="s">
        <v>79</v>
      </c>
      <c r="E9" s="35" t="s">
        <v>79</v>
      </c>
      <c r="F9" s="24">
        <v>32.299999999999997</v>
      </c>
      <c r="G9" s="24">
        <v>63</v>
      </c>
      <c r="H9" s="24" t="s">
        <v>34</v>
      </c>
      <c r="I9" s="24" t="s">
        <v>57</v>
      </c>
      <c r="J9" s="24" t="s">
        <v>80</v>
      </c>
      <c r="K9" s="24">
        <v>5</v>
      </c>
      <c r="L9" s="24">
        <v>1010.9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81</v>
      </c>
      <c r="D10" s="35" t="s">
        <v>79</v>
      </c>
      <c r="E10" s="35" t="s">
        <v>79</v>
      </c>
      <c r="F10" s="24">
        <v>32.5</v>
      </c>
      <c r="G10" s="24">
        <v>73</v>
      </c>
      <c r="H10" s="24" t="s">
        <v>32</v>
      </c>
      <c r="I10" s="24" t="s">
        <v>71</v>
      </c>
      <c r="J10" s="24">
        <v>11.2</v>
      </c>
      <c r="K10" s="24">
        <v>1</v>
      </c>
      <c r="L10" s="24">
        <v>1009.3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81</v>
      </c>
      <c r="D11" s="35" t="s">
        <v>79</v>
      </c>
      <c r="E11" s="35" t="s">
        <v>79</v>
      </c>
      <c r="F11" s="24">
        <v>34.6</v>
      </c>
      <c r="G11" s="24">
        <v>51</v>
      </c>
      <c r="H11" s="24" t="s">
        <v>34</v>
      </c>
      <c r="I11" s="24" t="s">
        <v>57</v>
      </c>
      <c r="J11" s="24">
        <v>11.2</v>
      </c>
      <c r="K11" s="24">
        <v>6</v>
      </c>
      <c r="L11" s="24">
        <v>1009.6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81</v>
      </c>
      <c r="D12" s="35" t="s">
        <v>79</v>
      </c>
      <c r="E12" s="35" t="s">
        <v>79</v>
      </c>
      <c r="F12" s="24">
        <v>31.2</v>
      </c>
      <c r="G12" s="24">
        <v>56</v>
      </c>
      <c r="H12" s="24" t="s">
        <v>34</v>
      </c>
      <c r="I12" s="24" t="s">
        <v>61</v>
      </c>
      <c r="J12" s="24">
        <v>24.1</v>
      </c>
      <c r="K12" s="24">
        <v>4</v>
      </c>
      <c r="L12" s="24">
        <v>1009.7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81</v>
      </c>
      <c r="D13" s="35" t="s">
        <v>79</v>
      </c>
      <c r="E13" s="35" t="s">
        <v>79</v>
      </c>
      <c r="F13" s="24" t="s">
        <v>85</v>
      </c>
      <c r="G13" s="24">
        <v>66</v>
      </c>
      <c r="H13" s="24" t="s">
        <v>32</v>
      </c>
      <c r="I13" s="24" t="s">
        <v>55</v>
      </c>
      <c r="J13" s="24" t="s">
        <v>88</v>
      </c>
      <c r="K13" s="24">
        <v>3</v>
      </c>
      <c r="L13" s="24">
        <v>1011.5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81</v>
      </c>
      <c r="D14" s="35" t="s">
        <v>79</v>
      </c>
      <c r="E14" s="35" t="s">
        <v>79</v>
      </c>
      <c r="F14" s="24">
        <v>31.1</v>
      </c>
      <c r="G14" s="24">
        <v>69</v>
      </c>
      <c r="H14" s="24" t="s">
        <v>34</v>
      </c>
      <c r="I14" s="24" t="s">
        <v>56</v>
      </c>
      <c r="J14" s="24">
        <v>9.6999999999999993</v>
      </c>
      <c r="K14" s="24">
        <v>5</v>
      </c>
      <c r="L14" s="24">
        <v>1011.8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81</v>
      </c>
      <c r="D15" s="35" t="s">
        <v>79</v>
      </c>
      <c r="E15" s="35" t="s">
        <v>79</v>
      </c>
      <c r="F15" s="24">
        <v>32.9</v>
      </c>
      <c r="G15" s="24">
        <v>67</v>
      </c>
      <c r="H15" s="24" t="s">
        <v>34</v>
      </c>
      <c r="I15" s="24" t="s">
        <v>55</v>
      </c>
      <c r="J15" s="24">
        <v>12.6</v>
      </c>
      <c r="K15" s="24">
        <v>5</v>
      </c>
      <c r="L15" s="24">
        <v>1011.7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81</v>
      </c>
      <c r="D16" s="35" t="s">
        <v>82</v>
      </c>
      <c r="E16" s="35" t="s">
        <v>82</v>
      </c>
      <c r="F16" s="24">
        <v>19.3</v>
      </c>
      <c r="G16" s="24">
        <v>79</v>
      </c>
      <c r="H16" s="24" t="s">
        <v>47</v>
      </c>
      <c r="I16" s="24" t="s">
        <v>58</v>
      </c>
      <c r="J16" s="24">
        <v>9.4</v>
      </c>
      <c r="K16" s="24">
        <v>7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81</v>
      </c>
      <c r="D17" s="35" t="s">
        <v>79</v>
      </c>
      <c r="E17" s="35" t="s">
        <v>79</v>
      </c>
      <c r="F17" s="24">
        <v>24.8</v>
      </c>
      <c r="G17" s="24">
        <v>69</v>
      </c>
      <c r="H17" s="24" t="s">
        <v>34</v>
      </c>
      <c r="I17" s="24" t="s">
        <v>55</v>
      </c>
      <c r="J17" s="24">
        <v>11.5</v>
      </c>
      <c r="K17" s="24">
        <v>6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81</v>
      </c>
      <c r="D18" s="35" t="s">
        <v>79</v>
      </c>
      <c r="E18" s="35" t="s">
        <v>79</v>
      </c>
      <c r="F18" s="24">
        <v>30.2</v>
      </c>
      <c r="G18" s="24">
        <v>52</v>
      </c>
      <c r="H18" s="24" t="s">
        <v>34</v>
      </c>
      <c r="I18" s="24" t="s">
        <v>59</v>
      </c>
      <c r="J18" s="24">
        <v>9.4</v>
      </c>
      <c r="K18" s="24">
        <v>6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81</v>
      </c>
      <c r="D19" s="35">
        <v>0.4</v>
      </c>
      <c r="E19" s="35">
        <v>0.4</v>
      </c>
      <c r="F19" s="24" t="s">
        <v>85</v>
      </c>
      <c r="G19" s="24">
        <v>76</v>
      </c>
      <c r="H19" s="24" t="s">
        <v>44</v>
      </c>
      <c r="I19" s="24" t="s">
        <v>69</v>
      </c>
      <c r="J19" s="24">
        <v>4.7</v>
      </c>
      <c r="K19" s="24">
        <v>4</v>
      </c>
      <c r="L19" s="24">
        <v>1010.3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81</v>
      </c>
      <c r="D20" s="35" t="s">
        <v>79</v>
      </c>
      <c r="E20" s="35" t="s">
        <v>79</v>
      </c>
      <c r="F20" s="24">
        <v>29.5</v>
      </c>
      <c r="G20" s="24">
        <v>78</v>
      </c>
      <c r="H20" s="24" t="s">
        <v>32</v>
      </c>
      <c r="I20" s="24" t="s">
        <v>55</v>
      </c>
      <c r="J20" s="24">
        <v>16.899999999999999</v>
      </c>
      <c r="K20" s="24">
        <v>3</v>
      </c>
      <c r="L20" s="24">
        <v>1011.9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81</v>
      </c>
      <c r="D21" s="35" t="s">
        <v>79</v>
      </c>
      <c r="E21" s="35" t="s">
        <v>79</v>
      </c>
      <c r="F21" s="24">
        <v>30.2</v>
      </c>
      <c r="G21" s="24">
        <v>79</v>
      </c>
      <c r="H21" s="24" t="s">
        <v>32</v>
      </c>
      <c r="I21" s="24" t="s">
        <v>56</v>
      </c>
      <c r="J21" s="24">
        <v>27.4</v>
      </c>
      <c r="K21" s="24">
        <v>3</v>
      </c>
      <c r="L21" s="24">
        <v>1010.5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81</v>
      </c>
      <c r="D22" s="35" t="s">
        <v>79</v>
      </c>
      <c r="E22" s="35" t="s">
        <v>79</v>
      </c>
      <c r="F22" s="24">
        <v>31.2</v>
      </c>
      <c r="G22" s="24">
        <v>75</v>
      </c>
      <c r="H22" s="24" t="s">
        <v>32</v>
      </c>
      <c r="I22" s="24" t="s">
        <v>72</v>
      </c>
      <c r="J22" s="24">
        <v>20.5</v>
      </c>
      <c r="K22" s="24">
        <v>3</v>
      </c>
      <c r="L22" s="24">
        <v>1008.8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81</v>
      </c>
      <c r="D23" s="35" t="s">
        <v>79</v>
      </c>
      <c r="E23" s="35" t="s">
        <v>79</v>
      </c>
      <c r="F23" s="24" t="s">
        <v>86</v>
      </c>
      <c r="G23" s="24">
        <v>53</v>
      </c>
      <c r="H23" s="24" t="s">
        <v>32</v>
      </c>
      <c r="I23" s="24" t="s">
        <v>56</v>
      </c>
      <c r="J23" s="24" t="s">
        <v>89</v>
      </c>
      <c r="K23" s="24">
        <v>2</v>
      </c>
      <c r="L23" s="24">
        <v>1010.3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81</v>
      </c>
      <c r="D24" s="35" t="s">
        <v>79</v>
      </c>
      <c r="E24" s="35" t="s">
        <v>79</v>
      </c>
      <c r="F24" s="24">
        <v>37.4</v>
      </c>
      <c r="G24" s="24">
        <v>34</v>
      </c>
      <c r="H24" s="24" t="s">
        <v>32</v>
      </c>
      <c r="I24" s="24" t="s">
        <v>55</v>
      </c>
      <c r="J24" s="24">
        <v>11.4</v>
      </c>
      <c r="K24" s="24">
        <v>3</v>
      </c>
      <c r="L24" s="24">
        <v>1009.3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81</v>
      </c>
      <c r="D25" s="35" t="s">
        <v>79</v>
      </c>
      <c r="E25" s="35" t="s">
        <v>79</v>
      </c>
      <c r="F25" s="24">
        <v>38.1</v>
      </c>
      <c r="G25" s="24">
        <v>36</v>
      </c>
      <c r="H25" s="24" t="s">
        <v>34</v>
      </c>
      <c r="I25" s="24" t="s">
        <v>58</v>
      </c>
      <c r="J25" s="24">
        <v>13.3</v>
      </c>
      <c r="K25" s="24">
        <v>4</v>
      </c>
      <c r="L25" s="24">
        <v>1008.1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6:H7 H1:I5 H7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I1:I5 I7:I25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219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45</v>
      </c>
      <c r="D3">
        <v>5</v>
      </c>
      <c r="E3" s="3" t="str">
        <f t="shared" ref="E3:E25" si="1">VLOOKUP(D3,$G$1:$H$19,2,FALSE)</f>
        <v>cloudy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216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5</v>
      </c>
      <c r="E6" s="3" t="str">
        <f t="shared" si="1"/>
        <v>cloudy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251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240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2</v>
      </c>
      <c r="E10" s="3" t="str">
        <f t="shared" si="1"/>
        <v>fairday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250</v>
      </c>
      <c r="D11">
        <v>6</v>
      </c>
      <c r="E11" s="3" t="str">
        <f t="shared" si="1"/>
        <v>partlycloudy</v>
      </c>
      <c r="F11" s="3" t="str">
        <f>Sheet4!L10</f>
        <v>WSW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270</v>
      </c>
      <c r="D12">
        <v>6</v>
      </c>
      <c r="E12" s="3" t="str">
        <f t="shared" si="1"/>
        <v>partlycloudy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220</v>
      </c>
      <c r="D13">
        <v>2</v>
      </c>
      <c r="E13" s="3" t="str">
        <f t="shared" si="1"/>
        <v>fairday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203</v>
      </c>
      <c r="D14">
        <v>6</v>
      </c>
      <c r="E14" s="3" t="str">
        <f t="shared" si="1"/>
        <v>partlycloudy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220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299</v>
      </c>
      <c r="D16">
        <v>10</v>
      </c>
      <c r="E16" s="3" t="str">
        <f t="shared" si="1"/>
        <v>thunderstorms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230</v>
      </c>
      <c r="D17">
        <v>6</v>
      </c>
      <c r="E17" s="3" t="str">
        <f t="shared" si="1"/>
        <v>partlycloudy</v>
      </c>
      <c r="F17" s="3" t="str">
        <f>Sheet4!L16</f>
        <v>SW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328</v>
      </c>
      <c r="D18">
        <v>6</v>
      </c>
      <c r="E18" s="3" t="str">
        <f t="shared" si="1"/>
        <v>partlycloudy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77</v>
      </c>
      <c r="D19">
        <v>1</v>
      </c>
      <c r="E19" s="3" t="str">
        <f t="shared" si="1"/>
        <v>rain</v>
      </c>
      <c r="F19" s="3" t="str">
        <f>Sheet4!L18</f>
        <v>ENE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236</v>
      </c>
      <c r="D20">
        <v>2</v>
      </c>
      <c r="E20" s="3" t="str">
        <f t="shared" si="1"/>
        <v>fairday</v>
      </c>
      <c r="F20" s="3" t="str">
        <f>Sheet4!L19</f>
        <v>SW</v>
      </c>
    </row>
    <row r="21" spans="1:14" x14ac:dyDescent="0.25">
      <c r="A21" s="32">
        <v>43497</v>
      </c>
      <c r="B21" s="34" t="s">
        <v>25</v>
      </c>
      <c r="C21">
        <v>210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185</v>
      </c>
      <c r="D22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200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290</v>
      </c>
      <c r="D25">
        <v>6</v>
      </c>
      <c r="E25" s="3" t="str">
        <f t="shared" si="1"/>
        <v>partlycloudy</v>
      </c>
      <c r="F25" s="3" t="str">
        <f>Sheet4!L24</f>
        <v>WNW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45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216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240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203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299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328</v>
      </c>
      <c r="L17" t="str">
        <f t="shared" si="0"/>
        <v>NW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77</v>
      </c>
      <c r="L18" t="str">
        <f t="shared" si="0"/>
        <v>ENE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236</v>
      </c>
      <c r="L19" t="str">
        <f t="shared" si="0"/>
        <v>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210</v>
      </c>
      <c r="L20" t="str">
        <f t="shared" si="0"/>
        <v>SSW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185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200</v>
      </c>
      <c r="L22" t="str">
        <f t="shared" si="0"/>
        <v>SSW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2026-09-07T09:33:32Z</dcterms:modified>
</cp:coreProperties>
</file>