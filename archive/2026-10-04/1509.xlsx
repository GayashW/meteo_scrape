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8820246C-06CF-4C43-A1D5-CF07D4C72A8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<sst xmlns="http://schemas.openxmlformats.org/spreadsheetml/2006/main" count="688" uniqueCount="118">
  <si>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</si>
  <si>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</si>
  <si>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</si>
  <si>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</si>
  <si>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</si>
  <si>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</si>
  <si>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</si>
  <si>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</si>
  <si>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</si>
  <si>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</si>
  <si>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</si>
  <si>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</si>
  <si>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</si>
  <si>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</si>
  <si>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</si>
  <si>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</si>
  <si>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</si>
  <si>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</si>
  <si>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</si>
  <si>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</si>
  <si>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</si>
  <si>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</si>
  <si>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</si>
  <si>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</si>
  <si>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</si>
  <si>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</si>
  <si>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</si>
  <si>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</si>
  <si>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</si>
  <si>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</si>
  <si>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</si>
  <si>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</si>
  <si>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</si>
  <si>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</si>
  <si>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</si>
  <si>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</si>
  <si>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</si>
  <si>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</si>
  <si>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</si>
  <si>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</si>
  <si>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</si>
  <si>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</si>
  <si>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</si>
  <si>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</si>
  <si>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</si>
  <si>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</si>
  <si>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</si>
  <si>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</si>
  <si>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</si>
  <si>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</si>
  <si>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</si>
  <si>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</si>
  <si>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</si>
  <si>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</si>
  <si>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</si>
  <si>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</si>
  <si>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</si>
  <si>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</si>
  <si>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</si>
  <si>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</si>
  <si>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</si>
  <si>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</si>
  <si>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</si>
  <si>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</si>
  <si>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</si>
  <si>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</si>
  <si>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</si>
  <si>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</si>
  <si>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</si>
  <si>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</si>
  <si>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</si>
  <si>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</si>
  <si>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</si>
  <si>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</si>
  <si>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</si>
  <si>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</si>
  <si>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</si>
  <si>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</si>
  <si>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</si>
  <si>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</si>
  <si>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</si>
  <si>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4.0</t>
  </si>
  <si>
    <t>26.0</t>
  </si>
  <si>
    <t>31.0</t>
  </si>
  <si>
    <t>0.2</t>
  </si>
  <si>
    <t>TRACE</t>
  </si>
  <si>
    <t>0.1</t>
  </si>
  <si>
    <t>6.0</t>
  </si>
  <si>
    <t>5.0</t>
  </si>
  <si>
    <t>28.0</t>
  </si>
  <si>
    <t>2026-10-04 1730</t>
  </si>
  <si>
    <t>3.2</t>
  </si>
  <si>
    <t>23.7</t>
  </si>
  <si>
    <t>25.3</t>
  </si>
  <si>
    <t>20.2</t>
  </si>
  <si>
    <t>21.0</t>
  </si>
  <si>
    <t>12.7</t>
  </si>
  <si>
    <t>30.0</t>
  </si>
  <si>
    <t>4.7</t>
  </si>
  <si>
    <t>7.2</t>
  </si>
  <si>
    <t>3.6</t>
  </si>
  <si>
    <t>2.2</t>
  </si>
  <si>
    <t>6.8</t>
  </si>
  <si>
    <t>7.9</t>
  </si>
  <si>
    <t>3.8</t>
  </si>
  <si>
    <t>2.9</t>
  </si>
  <si>
    <t>1.8</t>
  </si>
  <si>
    <t>4.5</t>
  </si>
  <si>
    <t>11.2</t>
  </si>
  <si>
    <t>6.5</t>
  </si>
  <si>
    <t>1011.0</t>
  </si>
  <si>
    <t>24.9</t>
  </si>
  <si>
    <t>25.7</t>
  </si>
  <si>
    <t>23.4</t>
  </si>
  <si>
    <t>24.3</t>
  </si>
  <si>
    <t>24.5</t>
  </si>
  <si>
    <t>25.1</t>
  </si>
  <si>
    <t>25.5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</si>
</sst>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L27" sqref="L27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90</v>
      </c>
      <c r="D2" s="35" t="s">
        <v>79</v>
      </c>
      <c r="E2" s="35" t="s">
        <v>84</v>
      </c>
      <c r="F2" s="24" t="s">
        <v>83</v>
      </c>
      <c r="G2" s="3">
        <v>69</v>
      </c>
      <c r="H2" s="3" t="s">
        <v>32</v>
      </c>
      <c r="I2" s="3" t="s">
        <v>69</v>
      </c>
      <c r="J2" s="24" t="s">
        <v>98</v>
      </c>
      <c r="K2" s="3">
        <v>3</v>
      </c>
      <c r="L2" s="24">
        <v>1011.1</v>
      </c>
      <c r="M2" s="24" t="s">
        <v>111</v>
      </c>
    </row>
    <row r="3" spans="1:15" ht="15.75" customHeight="1" x14ac:dyDescent="0.25">
      <c r="A3" s="3">
        <v>43410</v>
      </c>
      <c r="B3" s="3" t="s">
        <v>8</v>
      </c>
      <c r="C3" s="25" t="s">
        <v>90</v>
      </c>
      <c r="D3" s="35" t="s">
        <v>79</v>
      </c>
      <c r="E3" s="35" t="s">
        <v>79</v>
      </c>
      <c r="F3" s="24" t="s">
        <v>97</v>
      </c>
      <c r="G3" s="3">
        <v>75</v>
      </c>
      <c r="H3" s="3" t="s">
        <v>32</v>
      </c>
      <c r="I3" s="3" t="s">
        <v>69</v>
      </c>
      <c r="J3" s="24" t="s">
        <v>87</v>
      </c>
      <c r="K3" s="3">
        <v>3</v>
      </c>
      <c r="L3" s="24">
        <v>1011.2</v>
      </c>
      <c r="M3" s="24">
        <v>25.1</v>
      </c>
    </row>
    <row r="4" spans="1:15" ht="15.75" customHeight="1" x14ac:dyDescent="0.25">
      <c r="A4" s="1">
        <v>43413</v>
      </c>
      <c r="B4" s="2" t="s">
        <v>9</v>
      </c>
      <c r="C4" s="25" t="s">
        <v>90</v>
      </c>
      <c r="D4" s="35" t="s">
        <v>79</v>
      </c>
      <c r="E4" s="35" t="s">
        <v>79</v>
      </c>
      <c r="F4" s="24">
        <v>29.8</v>
      </c>
      <c r="G4" s="3">
        <v>77</v>
      </c>
      <c r="H4" s="3" t="s">
        <v>47</v>
      </c>
      <c r="I4" s="3" t="s">
        <v>72</v>
      </c>
      <c r="J4" s="24" t="s">
        <v>99</v>
      </c>
      <c r="K4" s="3">
        <v>7</v>
      </c>
      <c r="L4" s="24">
        <v>1011.4</v>
      </c>
      <c r="M4" s="24" t="s">
        <v>112</v>
      </c>
    </row>
    <row r="5" spans="1:15" ht="15.75" customHeight="1" x14ac:dyDescent="0.25">
      <c r="A5" s="1">
        <v>43415</v>
      </c>
      <c r="B5" s="1" t="s">
        <v>10</v>
      </c>
      <c r="C5" s="25" t="s">
        <v>90</v>
      </c>
      <c r="D5" s="35" t="s">
        <v>85</v>
      </c>
      <c r="E5" s="35" t="s">
        <v>85</v>
      </c>
      <c r="F5" s="24">
        <v>27.4</v>
      </c>
      <c r="G5" s="3">
        <v>84</v>
      </c>
      <c r="H5" s="3" t="s">
        <v>35</v>
      </c>
      <c r="I5" s="3" t="s">
        <v>66</v>
      </c>
      <c r="J5" s="24" t="s">
        <v>79</v>
      </c>
      <c r="K5" s="3">
        <v>7</v>
      </c>
      <c r="L5" s="24">
        <v>1011.7</v>
      </c>
      <c r="M5" s="24">
        <v>24.5</v>
      </c>
    </row>
    <row r="6" spans="1:15" ht="15.75" customHeight="1" x14ac:dyDescent="0.25">
      <c r="A6" s="1">
        <v>43418</v>
      </c>
      <c r="B6" s="2" t="s">
        <v>11</v>
      </c>
      <c r="C6" s="25" t="s">
        <v>90</v>
      </c>
      <c r="D6" s="35" t="s">
        <v>79</v>
      </c>
      <c r="E6" s="35" t="s">
        <v>79</v>
      </c>
      <c r="F6" s="24">
        <v>29.5</v>
      </c>
      <c r="G6" s="3">
        <v>77</v>
      </c>
      <c r="H6" s="3" t="s">
        <v>32</v>
      </c>
      <c r="I6" s="3" t="s">
        <v>66</v>
      </c>
      <c r="J6" s="24" t="s">
        <v>79</v>
      </c>
      <c r="K6" s="3">
        <v>3</v>
      </c>
      <c r="L6" s="24">
        <v>1011.5</v>
      </c>
      <c r="M6" s="24">
        <v>25.1</v>
      </c>
    </row>
    <row r="7" spans="1:15" ht="15.75" customHeight="1" x14ac:dyDescent="0.25">
      <c r="A7" s="1">
        <v>43421</v>
      </c>
      <c r="B7" s="2" t="s">
        <v>12</v>
      </c>
      <c r="C7" s="25" t="s">
        <v>90</v>
      </c>
      <c r="D7" s="35" t="s">
        <v>79</v>
      </c>
      <c r="E7" s="35" t="s">
        <v>79</v>
      </c>
      <c r="F7" s="24">
        <v>27.8</v>
      </c>
      <c r="G7" s="3">
        <v>79</v>
      </c>
      <c r="H7" s="3" t="s">
        <v>47</v>
      </c>
      <c r="I7" s="3" t="s">
        <v>74</v>
      </c>
      <c r="J7" s="24" t="s">
        <v>100</v>
      </c>
      <c r="K7" s="3">
        <v>8</v>
      </c>
      <c r="L7" s="24">
        <v>1011.3</v>
      </c>
      <c r="M7" s="24" t="s">
        <v>113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90</v>
      </c>
      <c r="D8" s="35" t="s">
        <v>79</v>
      </c>
      <c r="E8" s="35" t="s">
        <v>79</v>
      </c>
      <c r="F8" s="24" t="s">
        <v>89</v>
      </c>
      <c r="G8" s="3">
        <v>85</v>
      </c>
      <c r="H8" s="3" t="s">
        <v>47</v>
      </c>
      <c r="I8" s="3" t="s">
        <v>61</v>
      </c>
      <c r="J8" s="24" t="s">
        <v>98</v>
      </c>
      <c r="K8" s="3">
        <v>8</v>
      </c>
      <c r="L8" s="24">
        <v>1011.1</v>
      </c>
      <c r="M8" s="24">
        <v>25.2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90</v>
      </c>
      <c r="D9" s="35" t="s">
        <v>79</v>
      </c>
      <c r="E9" s="35" t="s">
        <v>79</v>
      </c>
      <c r="F9" s="24" t="s">
        <v>83</v>
      </c>
      <c r="G9" s="3">
        <v>68</v>
      </c>
      <c r="H9" s="3" t="s">
        <v>32</v>
      </c>
      <c r="I9" s="3" t="s">
        <v>57</v>
      </c>
      <c r="J9" s="24" t="s">
        <v>101</v>
      </c>
      <c r="K9" s="3">
        <v>3</v>
      </c>
      <c r="L9" s="24" t="s">
        <v>110</v>
      </c>
      <c r="M9" s="24">
        <v>24.4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90</v>
      </c>
      <c r="D10" s="35" t="s">
        <v>79</v>
      </c>
      <c r="E10" s="35" t="s">
        <v>79</v>
      </c>
      <c r="F10" s="24">
        <v>30.3</v>
      </c>
      <c r="G10" s="3">
        <v>73</v>
      </c>
      <c r="H10" s="3" t="s">
        <v>34</v>
      </c>
      <c r="I10" s="3" t="s">
        <v>71</v>
      </c>
      <c r="J10" s="24" t="s">
        <v>101</v>
      </c>
      <c r="K10" s="3">
        <v>4</v>
      </c>
      <c r="L10" s="24">
        <v>1010.8</v>
      </c>
      <c r="M10" s="24">
        <v>24.9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90</v>
      </c>
      <c r="D11" s="35" t="s">
        <v>91</v>
      </c>
      <c r="E11" s="35" t="s">
        <v>91</v>
      </c>
      <c r="F11" s="24">
        <v>25.6</v>
      </c>
      <c r="G11" s="3">
        <v>90</v>
      </c>
      <c r="H11" s="3" t="s">
        <v>47</v>
      </c>
      <c r="I11" s="3" t="s">
        <v>57</v>
      </c>
      <c r="J11" s="24" t="s">
        <v>102</v>
      </c>
      <c r="K11" s="3">
        <v>8</v>
      </c>
      <c r="L11" s="24">
        <v>1011.4</v>
      </c>
      <c r="M11" s="24">
        <v>23.9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90</v>
      </c>
      <c r="D12" s="35" t="s">
        <v>85</v>
      </c>
      <c r="E12" s="35" t="s">
        <v>85</v>
      </c>
      <c r="F12" s="24">
        <v>25.4</v>
      </c>
      <c r="G12" s="3">
        <v>83</v>
      </c>
      <c r="H12" s="3" t="s">
        <v>45</v>
      </c>
      <c r="I12" s="3" t="s">
        <v>66</v>
      </c>
      <c r="J12" s="24" t="s">
        <v>79</v>
      </c>
      <c r="K12" s="3">
        <v>8</v>
      </c>
      <c r="L12" s="24">
        <v>1012.2</v>
      </c>
      <c r="M12" s="24">
        <v>22.2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90</v>
      </c>
      <c r="D13" s="35" t="s">
        <v>79</v>
      </c>
      <c r="E13" s="35" t="s">
        <v>79</v>
      </c>
      <c r="F13" s="24">
        <v>29.6</v>
      </c>
      <c r="G13" s="3">
        <v>76</v>
      </c>
      <c r="H13" s="3" t="s">
        <v>35</v>
      </c>
      <c r="I13" s="3" t="s">
        <v>72</v>
      </c>
      <c r="J13" s="24" t="s">
        <v>103</v>
      </c>
      <c r="K13" s="3">
        <v>8</v>
      </c>
      <c r="L13" s="24">
        <v>1012.2</v>
      </c>
      <c r="M13" s="24">
        <v>24.9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90</v>
      </c>
      <c r="D14" s="35" t="s">
        <v>79</v>
      </c>
      <c r="E14" s="35" t="s">
        <v>79</v>
      </c>
      <c r="F14" s="24">
        <v>29.8</v>
      </c>
      <c r="G14" s="3">
        <v>72</v>
      </c>
      <c r="H14" s="3" t="s">
        <v>35</v>
      </c>
      <c r="I14" s="3" t="s">
        <v>72</v>
      </c>
      <c r="J14" s="24" t="s">
        <v>81</v>
      </c>
      <c r="K14" s="3">
        <v>7</v>
      </c>
      <c r="L14" s="24">
        <v>1012.2</v>
      </c>
      <c r="M14" s="24" t="s">
        <v>114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90</v>
      </c>
      <c r="D15" s="35" t="s">
        <v>79</v>
      </c>
      <c r="E15" s="35" t="s">
        <v>85</v>
      </c>
      <c r="F15" s="24">
        <v>30.2</v>
      </c>
      <c r="G15" s="3">
        <v>73</v>
      </c>
      <c r="H15" s="3" t="s">
        <v>35</v>
      </c>
      <c r="I15" s="3" t="s">
        <v>55</v>
      </c>
      <c r="J15" s="24" t="s">
        <v>104</v>
      </c>
      <c r="K15" s="3">
        <v>7</v>
      </c>
      <c r="L15" s="24">
        <v>1012.1</v>
      </c>
      <c r="M15" s="24">
        <v>24.8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90</v>
      </c>
      <c r="D16" s="35" t="s">
        <v>86</v>
      </c>
      <c r="E16" s="35" t="s">
        <v>84</v>
      </c>
      <c r="F16" s="24">
        <v>17.7</v>
      </c>
      <c r="G16" s="3">
        <v>92</v>
      </c>
      <c r="H16" s="3" t="s">
        <v>47</v>
      </c>
      <c r="I16" s="3" t="s">
        <v>72</v>
      </c>
      <c r="J16" s="24" t="s">
        <v>105</v>
      </c>
      <c r="K16" s="3">
        <v>8</v>
      </c>
      <c r="L16" s="24" t="s">
        <v>78</v>
      </c>
      <c r="M16" s="24">
        <v>16.100000000000001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90</v>
      </c>
      <c r="D17" s="35" t="s">
        <v>79</v>
      </c>
      <c r="E17" s="35" t="s">
        <v>79</v>
      </c>
      <c r="F17" s="24" t="s">
        <v>95</v>
      </c>
      <c r="G17" s="3">
        <v>95</v>
      </c>
      <c r="H17" s="3" t="s">
        <v>47</v>
      </c>
      <c r="I17" s="3" t="s">
        <v>69</v>
      </c>
      <c r="J17" s="24" t="s">
        <v>103</v>
      </c>
      <c r="K17" s="3">
        <v>8</v>
      </c>
      <c r="L17" s="24" t="s">
        <v>78</v>
      </c>
      <c r="M17" s="24">
        <v>20.3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90</v>
      </c>
      <c r="D18" s="35" t="s">
        <v>92</v>
      </c>
      <c r="E18" s="35" t="s">
        <v>93</v>
      </c>
      <c r="F18" s="24">
        <v>22.9</v>
      </c>
      <c r="G18" s="3">
        <v>94</v>
      </c>
      <c r="H18" s="3" t="s">
        <v>41</v>
      </c>
      <c r="I18" s="3" t="s">
        <v>73</v>
      </c>
      <c r="J18" s="24" t="s">
        <v>106</v>
      </c>
      <c r="K18" s="3">
        <v>7</v>
      </c>
      <c r="L18" s="24" t="s">
        <v>78</v>
      </c>
      <c r="M18" s="24">
        <v>21.9</v>
      </c>
    </row>
    <row r="19" spans="1:15" ht="15" x14ac:dyDescent="0.25">
      <c r="A19" s="1">
        <v>43486</v>
      </c>
      <c r="B19" s="2" t="s">
        <v>23</v>
      </c>
      <c r="C19" s="25" t="s">
        <v>90</v>
      </c>
      <c r="D19" s="35" t="s">
        <v>94</v>
      </c>
      <c r="E19" s="35" t="s">
        <v>95</v>
      </c>
      <c r="F19" s="24">
        <v>25.6</v>
      </c>
      <c r="G19" s="3">
        <v>95</v>
      </c>
      <c r="H19" s="3" t="s">
        <v>41</v>
      </c>
      <c r="I19" s="3" t="s">
        <v>61</v>
      </c>
      <c r="J19" s="24" t="s">
        <v>106</v>
      </c>
      <c r="K19" s="3">
        <v>8</v>
      </c>
      <c r="L19" s="24">
        <v>1011.9</v>
      </c>
      <c r="M19" s="24" t="s">
        <v>115</v>
      </c>
    </row>
    <row r="20" spans="1:15" ht="15.75" customHeight="1" x14ac:dyDescent="0.25">
      <c r="A20" s="1">
        <v>43495</v>
      </c>
      <c r="B20" s="2" t="s">
        <v>24</v>
      </c>
      <c r="C20" s="25" t="s">
        <v>90</v>
      </c>
      <c r="D20" s="35" t="s">
        <v>79</v>
      </c>
      <c r="E20" s="35" t="s">
        <v>79</v>
      </c>
      <c r="F20" s="24">
        <v>29.1</v>
      </c>
      <c r="G20" s="3">
        <v>81</v>
      </c>
      <c r="H20" s="3" t="s">
        <v>35</v>
      </c>
      <c r="I20" s="3" t="s">
        <v>55</v>
      </c>
      <c r="J20" s="24" t="s">
        <v>107</v>
      </c>
      <c r="K20" s="3">
        <v>6</v>
      </c>
      <c r="L20" s="24">
        <v>1011.9</v>
      </c>
      <c r="M20" s="24">
        <v>25.4</v>
      </c>
    </row>
    <row r="21" spans="1:15" ht="15.75" customHeight="1" x14ac:dyDescent="0.25">
      <c r="A21" s="1">
        <v>43497</v>
      </c>
      <c r="B21" s="2" t="s">
        <v>25</v>
      </c>
      <c r="C21" s="25" t="s">
        <v>90</v>
      </c>
      <c r="D21" s="35" t="s">
        <v>79</v>
      </c>
      <c r="E21" s="35" t="s">
        <v>79</v>
      </c>
      <c r="F21" s="24">
        <v>29.2</v>
      </c>
      <c r="G21" s="3">
        <v>76</v>
      </c>
      <c r="H21" s="3" t="s">
        <v>35</v>
      </c>
      <c r="I21" s="3" t="s">
        <v>55</v>
      </c>
      <c r="J21" s="24" t="s">
        <v>108</v>
      </c>
      <c r="K21" s="3">
        <v>7</v>
      </c>
      <c r="L21" s="24">
        <v>1011.5</v>
      </c>
      <c r="M21" s="24" t="s">
        <v>116</v>
      </c>
    </row>
    <row r="22" spans="1:15" ht="15.75" customHeight="1" x14ac:dyDescent="0.25">
      <c r="A22" s="1">
        <v>43475</v>
      </c>
      <c r="B22" s="2" t="s">
        <v>26</v>
      </c>
      <c r="C22" s="25" t="s">
        <v>90</v>
      </c>
      <c r="D22" s="35" t="s">
        <v>79</v>
      </c>
      <c r="E22" s="35" t="s">
        <v>79</v>
      </c>
      <c r="F22" s="24">
        <v>30.2</v>
      </c>
      <c r="G22" s="3">
        <v>75</v>
      </c>
      <c r="H22" s="3" t="s">
        <v>34</v>
      </c>
      <c r="I22" s="3" t="s">
        <v>72</v>
      </c>
      <c r="J22" s="24" t="s">
        <v>109</v>
      </c>
      <c r="K22" s="3">
        <v>5</v>
      </c>
      <c r="L22" s="24">
        <v>1011.6</v>
      </c>
      <c r="M22" s="24" t="s">
        <v>117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90</v>
      </c>
      <c r="D23" s="35" t="s">
        <v>79</v>
      </c>
      <c r="E23" s="35" t="s">
        <v>79</v>
      </c>
      <c r="F23" s="24">
        <v>27.6</v>
      </c>
      <c r="G23" s="3">
        <v>80</v>
      </c>
      <c r="H23" s="3" t="s">
        <v>35</v>
      </c>
      <c r="I23" s="3" t="s">
        <v>74</v>
      </c>
      <c r="J23" s="24" t="s">
        <v>88</v>
      </c>
      <c r="K23" s="3">
        <v>6</v>
      </c>
      <c r="L23" s="24">
        <v>1012.2</v>
      </c>
      <c r="M23" s="24">
        <v>23.8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90</v>
      </c>
      <c r="D24" s="35" t="s">
        <v>96</v>
      </c>
      <c r="E24" s="35" t="s">
        <v>96</v>
      </c>
      <c r="F24" s="24" t="s">
        <v>82</v>
      </c>
      <c r="G24" s="3">
        <v>92</v>
      </c>
      <c r="H24" s="3" t="s">
        <v>44</v>
      </c>
      <c r="I24" s="3" t="s">
        <v>66</v>
      </c>
      <c r="J24" s="24" t="s">
        <v>79</v>
      </c>
      <c r="K24" s="3">
        <v>8</v>
      </c>
      <c r="L24" s="24">
        <v>1012.8</v>
      </c>
      <c r="M24" s="24">
        <v>24.6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90</v>
      </c>
      <c r="D25" s="35" t="s">
        <v>85</v>
      </c>
      <c r="E25" s="35" t="s">
        <v>85</v>
      </c>
      <c r="F25" s="24">
        <v>28.5</v>
      </c>
      <c r="G25" s="3">
        <v>79</v>
      </c>
      <c r="H25" s="3" t="s">
        <v>35</v>
      </c>
      <c r="I25" s="3" t="s">
        <v>66</v>
      </c>
      <c r="J25" s="24" t="s">
        <v>79</v>
      </c>
      <c r="K25" s="3">
        <v>7</v>
      </c>
      <c r="L25" s="24" t="s">
        <v>110</v>
      </c>
      <c r="M25" s="24">
        <v>24.3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:I2 H15:I15 H1 H20:I23 H3:H19 H24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I3:I4 I18:I19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71</v>
      </c>
      <c r="D2">
        <v>2</v>
      </c>
      <c r="E2" s="3" t="str">
        <f>VLOOKUP(D2,$G$1:$H$19,2,FALSE)</f>
        <v>fairday</v>
      </c>
      <c r="F2" s="3" t="str">
        <f>Sheet4!L1</f>
        <v>ENE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70</v>
      </c>
      <c r="D3">
        <v>2</v>
      </c>
      <c r="E3" s="3" t="str">
        <f t="shared" ref="E3:E25" si="1">VLOOKUP(D3,$G$1:$H$19,2,FALSE)</f>
        <v>fairday</v>
      </c>
      <c r="F3" s="3" t="str">
        <f>Sheet4!L2</f>
        <v>ENE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182</v>
      </c>
      <c r="D4">
        <v>10</v>
      </c>
      <c r="E4" s="3" t="str">
        <f t="shared" si="1"/>
        <v>thunderstorms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5</v>
      </c>
      <c r="E5" s="3" t="str">
        <f t="shared" si="1"/>
        <v>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2</v>
      </c>
      <c r="E6" s="3" t="str">
        <f t="shared" si="1"/>
        <v>fairday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345</v>
      </c>
      <c r="D7">
        <v>10</v>
      </c>
      <c r="E7" s="3" t="str">
        <f t="shared" si="1"/>
        <v>thunderstorms</v>
      </c>
      <c r="F7" s="3" t="str">
        <f>Sheet4!L6</f>
        <v>NNW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270</v>
      </c>
      <c r="D8">
        <v>10</v>
      </c>
      <c r="E8" s="3" t="str">
        <f t="shared" si="1"/>
        <v>thunderstorms</v>
      </c>
      <c r="F8" s="3" t="str">
        <f>Sheet4!L7</f>
        <v>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140</v>
      </c>
      <c r="D10">
        <v>6</v>
      </c>
      <c r="E10" s="3" t="str">
        <f t="shared" si="1"/>
        <v>partlycloudy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250</v>
      </c>
      <c r="D11">
        <v>10</v>
      </c>
      <c r="E11" s="3" t="str">
        <f t="shared" si="1"/>
        <v>thunderstorms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11</v>
      </c>
      <c r="E12" s="3" t="str">
        <f t="shared" si="1"/>
        <v>showers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187</v>
      </c>
      <c r="D13">
        <v>5</v>
      </c>
      <c r="E13" s="3" t="str">
        <f t="shared" si="1"/>
        <v>cloudy</v>
      </c>
      <c r="F13" s="3" t="str">
        <f>Sheet4!L12</f>
        <v>S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191</v>
      </c>
      <c r="D14">
        <v>5</v>
      </c>
      <c r="E14" s="3" t="str">
        <f t="shared" si="1"/>
        <v>cloudy</v>
      </c>
      <c r="F14" s="3" t="str">
        <f>Sheet4!L13</f>
        <v>S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5</v>
      </c>
      <c r="E15" s="3" t="str">
        <f t="shared" si="1"/>
        <v>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174</v>
      </c>
      <c r="D16">
        <v>10</v>
      </c>
      <c r="E16" s="3" t="str">
        <f t="shared" si="1"/>
        <v>thunderstorms</v>
      </c>
      <c r="F16" s="3" t="str">
        <f>Sheet4!L15</f>
        <v>S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70</v>
      </c>
      <c r="D17">
        <v>10</v>
      </c>
      <c r="E17" s="3" t="str">
        <f t="shared" si="1"/>
        <v>thunderstorms</v>
      </c>
      <c r="F17" s="3" t="str">
        <f>Sheet4!L16</f>
        <v>ENE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357</v>
      </c>
      <c r="D18">
        <v>12</v>
      </c>
      <c r="E18" s="3" t="str">
        <f t="shared" si="1"/>
        <v>thundershowers</v>
      </c>
      <c r="F18" s="3" t="str">
        <f>Sheet4!L17</f>
        <v>N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260</v>
      </c>
      <c r="D19">
        <v>12</v>
      </c>
      <c r="E19" s="3" t="str">
        <f t="shared" si="1"/>
        <v>thundershowers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220</v>
      </c>
      <c r="D20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222</v>
      </c>
      <c r="D21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186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340</v>
      </c>
      <c r="D23">
        <v>5</v>
      </c>
      <c r="E23" s="3" t="str">
        <f t="shared" si="1"/>
        <v>cloudy</v>
      </c>
      <c r="F23" s="3" t="str">
        <f>Sheet4!L22</f>
        <v>NNW</v>
      </c>
    </row>
    <row r="24" spans="1:14" x14ac:dyDescent="0.25">
      <c r="A24" s="32">
        <v>821501</v>
      </c>
      <c r="B24" s="32" t="s">
        <v>28</v>
      </c>
      <c r="C24">
        <v>0</v>
      </c>
      <c r="D24">
        <v>1</v>
      </c>
      <c r="E24" s="3" t="str">
        <f t="shared" si="1"/>
        <v>rain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5</v>
      </c>
      <c r="E25" s="3" t="str">
        <f t="shared" si="1"/>
        <v>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71</v>
      </c>
      <c r="L1" t="str">
        <f>VLOOKUP(K1,A$2:B$363,2,FALSE)</f>
        <v>ENE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70</v>
      </c>
      <c r="L2" t="str">
        <f t="shared" ref="L2:L24" si="0">VLOOKUP(K2,A$2:B$363,2,FALSE)</f>
        <v>ENE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182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345</v>
      </c>
      <c r="L6" t="str">
        <f t="shared" si="0"/>
        <v>NNW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187</v>
      </c>
      <c r="L12" t="str">
        <f t="shared" si="0"/>
        <v>S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191</v>
      </c>
      <c r="L13" t="str">
        <f t="shared" si="0"/>
        <v>S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174</v>
      </c>
      <c r="L15" t="str">
        <f t="shared" si="0"/>
        <v>S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70</v>
      </c>
      <c r="L16" t="str">
        <f t="shared" si="0"/>
        <v>ENE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357</v>
      </c>
      <c r="L17" t="str">
        <f t="shared" si="0"/>
        <v>N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260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220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340</v>
      </c>
      <c r="L22" t="str">
        <f t="shared" si="0"/>
        <v>NNW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2026-10-04T12:48:29Z</dcterms:modified>
</cp:coreProperties>
</file>