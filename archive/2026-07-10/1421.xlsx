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8_{BD4EC945-E51D-4E69-857A-6653526A6436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Sheet1!$A$7:$M$7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<sst xmlns="http://schemas.openxmlformats.org/spreadsheetml/2006/main" count="601" uniqueCount="79">
  <si>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</si>
  <si>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</si>
  <si>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</si>
  <si>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</si>
  <si>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</si>
  <si>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</si>
  <si>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</si>
  <si>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</si>
  <si>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</si>
  <si>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</si>
  <si>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</si>
  <si>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</si>
  <si>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</si>
  <si>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</si>
  <si>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</si>
  <si>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</si>
  <si>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</si>
  <si>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</si>
  <si>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</si>
  <si>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</si>
  <si>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</si>
  <si>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</si>
  <si>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</si>
  <si>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</si>
  <si>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</si>
  <si>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</si>
  <si>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</si>
  <si>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</si>
  <si>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</si>
  <si>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</si>
  <si>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</si>
  <si>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</si>
  <si>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</si>
  <si>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</si>
  <si>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</si>
  <si>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</si>
  <si>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</si>
  <si>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</si>
  <si>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</si>
  <si>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</si>
  <si>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</si>
  <si>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</si>
  <si>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</si>
  <si>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</si>
  <si>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</si>
  <si>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</si>
  <si>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</si>
  <si>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</si>
  <si>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</si>
  <si>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</si>
  <si>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</si>
  <si>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</si>
  <si>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</si>
  <si>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</si>
  <si>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</si>
  <si>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</si>
  <si>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</si>
  <si>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</si>
  <si>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</si>
  <si>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</si>
  <si>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</si>
  <si>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</si>
  <si>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</si>
  <si>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</si>
  <si>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</si>
  <si>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</si>
  <si>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</si>
  <si>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</si>
  <si>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</si>
  <si>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</si>
  <si>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</si>
  <si>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</si>
  <si>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</si>
  <si>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</si>
  <si>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</si>
  <si>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</si>
  <si>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</si>
  <si>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NA</t>
  </si>
  <si>
    <t>2026-07-10 1730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</si>
</sst>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D29" sqref="D29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78</v>
      </c>
      <c r="D2" s="39">
        <v>0</v>
      </c>
      <c r="E2" s="39">
        <v>0</v>
      </c>
      <c r="F2" s="39">
        <v>31.6</v>
      </c>
      <c r="G2" s="24">
        <v>71</v>
      </c>
      <c r="H2" s="24" t="s">
        <v>32</v>
      </c>
      <c r="I2" s="24" t="s">
        <v>72</v>
      </c>
      <c r="J2" s="39">
        <v>7.9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78</v>
      </c>
      <c r="D3" s="39">
        <v>0</v>
      </c>
      <c r="E3" s="39">
        <v>0</v>
      </c>
      <c r="F3" s="39">
        <v>32.5</v>
      </c>
      <c r="G3" s="24">
        <v>76</v>
      </c>
      <c r="H3" s="24" t="s">
        <v>34</v>
      </c>
      <c r="I3" s="24" t="e">
        <v>#N/A</v>
      </c>
      <c r="J3" s="39" t="s">
        <v>77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78</v>
      </c>
      <c r="D4" s="39">
        <v>0</v>
      </c>
      <c r="E4" s="39">
        <v>0</v>
      </c>
      <c r="F4" s="39">
        <v>29.4</v>
      </c>
      <c r="G4" s="24">
        <v>82</v>
      </c>
      <c r="H4" s="24" t="s">
        <v>32</v>
      </c>
      <c r="I4" s="24" t="s">
        <v>56</v>
      </c>
      <c r="J4" s="39">
        <v>18.399999999999999</v>
      </c>
      <c r="K4" s="24"/>
      <c r="M4" s="3"/>
    </row>
    <row r="5" spans="1:15" x14ac:dyDescent="0.25">
      <c r="A5" s="1">
        <v>43415</v>
      </c>
      <c r="B5" s="1" t="s">
        <v>10</v>
      </c>
      <c r="C5" s="26" t="s">
        <v>78</v>
      </c>
      <c r="D5" s="39">
        <v>0</v>
      </c>
      <c r="E5" s="39">
        <v>0</v>
      </c>
      <c r="F5" s="39">
        <v>31.8</v>
      </c>
      <c r="G5" s="24">
        <v>64</v>
      </c>
      <c r="H5" s="24" t="s">
        <v>32</v>
      </c>
      <c r="I5" s="24" t="s">
        <v>55</v>
      </c>
      <c r="J5" s="39">
        <v>4.4000000000000004</v>
      </c>
      <c r="K5" s="24"/>
    </row>
    <row r="6" spans="1:15" ht="15" customHeight="1" x14ac:dyDescent="0.25">
      <c r="A6" s="1">
        <v>43418</v>
      </c>
      <c r="B6" s="2" t="s">
        <v>11</v>
      </c>
      <c r="C6" s="26" t="s">
        <v>78</v>
      </c>
      <c r="D6" s="39">
        <v>0</v>
      </c>
      <c r="E6" s="39">
        <v>0</v>
      </c>
      <c r="F6" s="39">
        <v>33.200000000000003</v>
      </c>
      <c r="G6" s="24">
        <v>55</v>
      </c>
      <c r="H6" s="24" t="s">
        <v>32</v>
      </c>
      <c r="I6" s="24" t="s">
        <v>55</v>
      </c>
      <c r="J6" s="39">
        <v>5.8</v>
      </c>
      <c r="K6" s="24"/>
      <c r="M6" s="3"/>
    </row>
    <row r="7" spans="1:15" ht="15" customHeight="1" x14ac:dyDescent="0.25">
      <c r="A7" s="1">
        <v>43421</v>
      </c>
      <c r="B7" s="2" t="s">
        <v>12</v>
      </c>
      <c r="C7" s="26" t="s">
        <v>78</v>
      </c>
      <c r="D7" s="39">
        <v>0</v>
      </c>
      <c r="E7" s="39">
        <v>0</v>
      </c>
      <c r="F7" s="39">
        <v>30.4</v>
      </c>
      <c r="G7" s="24">
        <v>69</v>
      </c>
      <c r="H7" s="24" t="s">
        <v>32</v>
      </c>
      <c r="I7" s="24" t="s">
        <v>57</v>
      </c>
      <c r="J7" s="39">
        <v>10.4</v>
      </c>
      <c r="K7" s="24"/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78</v>
      </c>
      <c r="D8" s="39">
        <v>0</v>
      </c>
      <c r="E8" s="39">
        <v>0</v>
      </c>
      <c r="F8" s="39">
        <v>29.8</v>
      </c>
      <c r="G8" s="24">
        <v>71</v>
      </c>
      <c r="H8" s="24" t="s">
        <v>32</v>
      </c>
      <c r="I8" s="24" t="s">
        <v>55</v>
      </c>
      <c r="J8" s="39">
        <v>5.4</v>
      </c>
      <c r="K8" s="24"/>
      <c r="N8" s="24"/>
      <c r="O8" s="24"/>
    </row>
    <row r="9" spans="1:15" x14ac:dyDescent="0.25">
      <c r="A9" s="1">
        <v>43424</v>
      </c>
      <c r="B9" s="1" t="s">
        <v>14</v>
      </c>
      <c r="C9" s="26" t="s">
        <v>78</v>
      </c>
      <c r="D9" s="39">
        <v>0</v>
      </c>
      <c r="E9" s="39">
        <v>0</v>
      </c>
      <c r="F9" s="39">
        <v>30</v>
      </c>
      <c r="G9" s="24">
        <v>75</v>
      </c>
      <c r="H9" s="24" t="s">
        <v>34</v>
      </c>
      <c r="I9" s="24" t="s">
        <v>55</v>
      </c>
      <c r="J9" s="39">
        <v>9.6999999999999993</v>
      </c>
      <c r="K9" s="24"/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78</v>
      </c>
      <c r="D10" s="39">
        <v>0</v>
      </c>
      <c r="E10" s="39">
        <v>0</v>
      </c>
      <c r="F10" s="39">
        <v>31.4</v>
      </c>
      <c r="G10" s="24">
        <v>75</v>
      </c>
      <c r="H10" s="24" t="s">
        <v>32</v>
      </c>
      <c r="I10" s="24" t="s">
        <v>71</v>
      </c>
      <c r="J10" s="39">
        <v>8.3000000000000007</v>
      </c>
      <c r="K10" s="24"/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78</v>
      </c>
      <c r="D11" s="39" t="s">
        <v>76</v>
      </c>
      <c r="E11" s="39">
        <v>12.1</v>
      </c>
      <c r="F11" s="39">
        <v>28.2</v>
      </c>
      <c r="G11" s="24">
        <v>83</v>
      </c>
      <c r="H11" s="24" t="s">
        <v>35</v>
      </c>
      <c r="I11" s="24" t="s">
        <v>57</v>
      </c>
      <c r="J11" s="39">
        <v>8.6</v>
      </c>
      <c r="K11" s="24"/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78</v>
      </c>
      <c r="D12" s="39" t="s">
        <v>76</v>
      </c>
      <c r="E12" s="39" t="s">
        <v>76</v>
      </c>
      <c r="F12" s="39">
        <v>26.6</v>
      </c>
      <c r="G12" s="24">
        <v>82</v>
      </c>
      <c r="H12" s="24" t="s">
        <v>34</v>
      </c>
      <c r="I12" s="24" t="s">
        <v>58</v>
      </c>
      <c r="J12" s="39">
        <v>3.9</v>
      </c>
      <c r="K12" s="24"/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78</v>
      </c>
      <c r="D13" s="39">
        <v>0</v>
      </c>
      <c r="E13" s="39" t="s">
        <v>76</v>
      </c>
      <c r="F13" s="39">
        <v>29.6</v>
      </c>
      <c r="G13" s="24">
        <v>77</v>
      </c>
      <c r="H13" s="24" t="s">
        <v>35</v>
      </c>
      <c r="I13" s="24" t="s">
        <v>55</v>
      </c>
      <c r="J13" s="39">
        <v>17.3</v>
      </c>
      <c r="K13" s="24"/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78</v>
      </c>
      <c r="D14" s="39">
        <v>0</v>
      </c>
      <c r="E14" s="39">
        <v>0</v>
      </c>
      <c r="F14" s="39">
        <v>29.4</v>
      </c>
      <c r="G14" s="24">
        <v>81</v>
      </c>
      <c r="H14" s="24" t="s">
        <v>35</v>
      </c>
      <c r="I14" s="24" t="s">
        <v>57</v>
      </c>
      <c r="J14" s="39">
        <v>5.8</v>
      </c>
      <c r="K14" s="24"/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78</v>
      </c>
      <c r="D15" s="39">
        <v>0</v>
      </c>
      <c r="E15" s="39">
        <v>0</v>
      </c>
      <c r="F15" s="39">
        <v>29.9</v>
      </c>
      <c r="G15" s="24">
        <v>79</v>
      </c>
      <c r="H15" s="24" t="s">
        <v>34</v>
      </c>
      <c r="I15" s="24" t="s">
        <v>57</v>
      </c>
      <c r="J15" s="39">
        <v>8.3000000000000007</v>
      </c>
      <c r="K15" s="24"/>
      <c r="M15" s="3"/>
      <c r="N15" s="24"/>
      <c r="O15" s="24"/>
    </row>
    <row r="16" spans="1:15" ht="16.5" customHeight="1" x14ac:dyDescent="0.25">
      <c r="A16" s="1">
        <v>43473</v>
      </c>
      <c r="B16" s="2" t="s">
        <v>20</v>
      </c>
      <c r="C16" s="26" t="s">
        <v>78</v>
      </c>
      <c r="D16" s="39" t="s">
        <v>76</v>
      </c>
      <c r="E16" s="39" t="s">
        <v>76</v>
      </c>
      <c r="F16" s="39">
        <v>17.399999999999999</v>
      </c>
      <c r="G16" s="24">
        <v>88</v>
      </c>
      <c r="H16" s="24" t="s">
        <v>35</v>
      </c>
      <c r="I16" s="24" t="s">
        <v>58</v>
      </c>
      <c r="J16" s="39">
        <v>15.1</v>
      </c>
      <c r="K16" s="24"/>
      <c r="M16" s="3"/>
      <c r="N16" s="24"/>
      <c r="O16" s="24"/>
    </row>
    <row r="17" spans="1:15" ht="15.75" customHeight="1" x14ac:dyDescent="0.25">
      <c r="A17" s="1">
        <v>43475</v>
      </c>
      <c r="B17" s="2" t="s">
        <v>26</v>
      </c>
      <c r="C17" s="26" t="s">
        <v>78</v>
      </c>
      <c r="D17" s="39">
        <v>0</v>
      </c>
      <c r="E17" s="39">
        <v>0</v>
      </c>
      <c r="F17" s="39">
        <v>29.8</v>
      </c>
      <c r="G17" s="24">
        <v>74</v>
      </c>
      <c r="H17" s="24" t="s">
        <v>32</v>
      </c>
      <c r="I17" s="24" t="s">
        <v>59</v>
      </c>
      <c r="J17" s="39">
        <v>7.2</v>
      </c>
      <c r="K17" s="24"/>
      <c r="N17" s="24"/>
      <c r="O17" s="24"/>
    </row>
    <row r="18" spans="1:15" ht="15" customHeight="1" x14ac:dyDescent="0.25">
      <c r="A18" s="1">
        <v>43476</v>
      </c>
      <c r="B18" s="1" t="s">
        <v>21</v>
      </c>
      <c r="C18" s="26" t="s">
        <v>78</v>
      </c>
      <c r="D18" s="39">
        <v>1.9</v>
      </c>
      <c r="E18" s="39">
        <v>1.9</v>
      </c>
      <c r="F18" s="39">
        <v>22.8</v>
      </c>
      <c r="G18" s="24">
        <v>77</v>
      </c>
      <c r="H18" s="24" t="s">
        <v>34</v>
      </c>
      <c r="I18" s="24" t="s">
        <v>58</v>
      </c>
      <c r="J18" s="39">
        <v>6.4</v>
      </c>
      <c r="K18" s="24"/>
      <c r="N18" s="24"/>
      <c r="O18" s="24"/>
    </row>
    <row r="19" spans="1:15" ht="15" customHeight="1" x14ac:dyDescent="0.25">
      <c r="A19" s="1">
        <v>43479</v>
      </c>
      <c r="B19" s="1" t="s">
        <v>22</v>
      </c>
      <c r="C19" s="26" t="s">
        <v>78</v>
      </c>
      <c r="D19" s="39">
        <v>0</v>
      </c>
      <c r="E19" s="39">
        <v>0</v>
      </c>
      <c r="F19" s="39">
        <v>27.1</v>
      </c>
      <c r="G19" s="24">
        <v>69</v>
      </c>
      <c r="H19" s="24" t="s">
        <v>34</v>
      </c>
      <c r="I19" s="24" t="s">
        <v>58</v>
      </c>
      <c r="J19" s="39">
        <v>2.2000000000000002</v>
      </c>
      <c r="K19" s="24"/>
    </row>
    <row r="20" spans="1:15" ht="14.25" customHeight="1" x14ac:dyDescent="0.25">
      <c r="A20" s="1">
        <v>43486</v>
      </c>
      <c r="B20" s="2" t="s">
        <v>23</v>
      </c>
      <c r="C20" s="26" t="s">
        <v>78</v>
      </c>
      <c r="D20" s="39">
        <v>1.8</v>
      </c>
      <c r="E20" s="39">
        <v>3.6</v>
      </c>
      <c r="F20" s="39">
        <v>27.8</v>
      </c>
      <c r="G20" s="24">
        <v>87</v>
      </c>
      <c r="H20" s="24" t="s">
        <v>33</v>
      </c>
      <c r="I20" s="24" t="s">
        <v>73</v>
      </c>
      <c r="J20" s="39">
        <v>8.6</v>
      </c>
      <c r="K20" s="24"/>
      <c r="M20" s="3"/>
    </row>
    <row r="21" spans="1:15" x14ac:dyDescent="0.25">
      <c r="A21" s="1">
        <v>43495</v>
      </c>
      <c r="B21" s="2" t="s">
        <v>24</v>
      </c>
      <c r="C21" s="26" t="s">
        <v>78</v>
      </c>
      <c r="D21" s="39">
        <v>0</v>
      </c>
      <c r="E21" s="39">
        <v>0</v>
      </c>
      <c r="F21" s="39">
        <v>29</v>
      </c>
      <c r="G21" s="24">
        <v>85</v>
      </c>
      <c r="H21" s="24" t="s">
        <v>34</v>
      </c>
      <c r="I21" s="24" t="s">
        <v>61</v>
      </c>
      <c r="J21" s="39">
        <v>10.8</v>
      </c>
      <c r="K21" s="24"/>
      <c r="M21" s="3"/>
    </row>
    <row r="22" spans="1:15" ht="15" customHeight="1" x14ac:dyDescent="0.25">
      <c r="A22" s="1">
        <v>43497</v>
      </c>
      <c r="B22" s="2" t="s">
        <v>25</v>
      </c>
      <c r="C22" s="26" t="s">
        <v>78</v>
      </c>
      <c r="D22" s="39">
        <v>0</v>
      </c>
      <c r="E22" s="39">
        <v>0</v>
      </c>
      <c r="F22" s="39">
        <v>28.5</v>
      </c>
      <c r="G22" s="24">
        <v>84</v>
      </c>
      <c r="H22" s="24" t="s">
        <v>34</v>
      </c>
      <c r="I22" s="24" t="s">
        <v>55</v>
      </c>
      <c r="J22" s="39">
        <v>10.8</v>
      </c>
      <c r="K22" s="24"/>
      <c r="M22" s="3"/>
    </row>
    <row r="23" spans="1:15" ht="16.5" customHeight="1" x14ac:dyDescent="0.25">
      <c r="A23" s="1">
        <v>330601</v>
      </c>
      <c r="B23" s="2" t="s">
        <v>27</v>
      </c>
      <c r="C23" s="26" t="s">
        <v>78</v>
      </c>
      <c r="D23" s="39">
        <v>0</v>
      </c>
      <c r="E23" s="39">
        <v>0</v>
      </c>
      <c r="F23" s="39">
        <v>32</v>
      </c>
      <c r="G23" s="24">
        <v>58</v>
      </c>
      <c r="H23" s="24" t="s">
        <v>34</v>
      </c>
      <c r="I23" s="24" t="s">
        <v>61</v>
      </c>
      <c r="J23" s="39">
        <v>22</v>
      </c>
      <c r="K23" s="24"/>
      <c r="M23" s="3"/>
      <c r="N23" s="24"/>
      <c r="O23" s="24"/>
    </row>
    <row r="24" spans="1:15" ht="15" customHeight="1" x14ac:dyDescent="0.25">
      <c r="A24" s="1">
        <v>721501</v>
      </c>
      <c r="B24" s="1" t="s">
        <v>29</v>
      </c>
      <c r="C24" s="26" t="s">
        <v>78</v>
      </c>
      <c r="D24" s="39">
        <v>0</v>
      </c>
      <c r="E24" s="39">
        <v>0</v>
      </c>
      <c r="F24" s="39">
        <v>31.2</v>
      </c>
      <c r="G24" s="24">
        <v>65</v>
      </c>
      <c r="H24" s="24" t="s">
        <v>32</v>
      </c>
      <c r="I24" s="24" t="s">
        <v>61</v>
      </c>
      <c r="J24" s="39">
        <v>13.3</v>
      </c>
      <c r="K24" s="24"/>
      <c r="N24" s="24"/>
      <c r="O24" s="24"/>
    </row>
    <row r="25" spans="1:15" ht="15" customHeight="1" x14ac:dyDescent="0.25">
      <c r="A25" s="1">
        <v>821501</v>
      </c>
      <c r="B25" s="1" t="s">
        <v>28</v>
      </c>
      <c r="C25" s="26" t="s">
        <v>78</v>
      </c>
      <c r="D25" s="39">
        <v>0</v>
      </c>
      <c r="E25" s="39">
        <v>0</v>
      </c>
      <c r="F25" s="39">
        <v>30</v>
      </c>
      <c r="G25" s="24">
        <v>66</v>
      </c>
      <c r="H25" s="24" t="s">
        <v>32</v>
      </c>
      <c r="I25" s="24" t="e">
        <v>#N/A</v>
      </c>
      <c r="J25" s="39" t="s">
        <v>77</v>
      </c>
      <c r="K25" s="24"/>
      <c r="N25" s="24"/>
      <c r="O25" s="24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H5 H15:H16 H6:I14 M6:M13 M1:M4 M15:M25 H1:I4 H17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I15:I18 I1:I5 I21:I25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180</v>
      </c>
      <c r="D2" s="25">
        <v>2</v>
      </c>
      <c r="E2" s="3" t="str">
        <f>VLOOKUP(D2,$G$1:$H$19,2,FALSE)</f>
        <v>fairday</v>
      </c>
      <c r="F2" s="3" t="str">
        <f>Sheet4!L1</f>
        <v>S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 t="s">
        <v>77</v>
      </c>
      <c r="D3" s="25">
        <v>6</v>
      </c>
      <c r="E3" s="3" t="str">
        <f t="shared" ref="E3:E25" si="1">VLOOKUP(D3,$G$1:$H$19,2,FALSE)</f>
        <v>partlycloudy</v>
      </c>
      <c r="F3" s="3" t="e">
        <f>Sheet4!L2</f>
        <v>#N/A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208</v>
      </c>
      <c r="D4" s="25">
        <v>2</v>
      </c>
      <c r="E4" s="3" t="str">
        <f t="shared" si="1"/>
        <v>fairday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230</v>
      </c>
      <c r="D5" s="25">
        <v>2</v>
      </c>
      <c r="E5" s="3" t="str">
        <f t="shared" si="1"/>
        <v>fairday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2</v>
      </c>
      <c r="E6" s="3" t="str">
        <f t="shared" si="1"/>
        <v>fairday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239</v>
      </c>
      <c r="D7" s="25">
        <v>2</v>
      </c>
      <c r="E7" s="3" t="str">
        <f t="shared" si="1"/>
        <v>fairday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2</v>
      </c>
      <c r="E8" s="3" t="str">
        <f t="shared" si="1"/>
        <v>fairday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230</v>
      </c>
      <c r="D9" s="25">
        <v>6</v>
      </c>
      <c r="E9" s="3" t="str">
        <f t="shared" si="1"/>
        <v>partlycloudy</v>
      </c>
      <c r="F9" s="3" t="str">
        <f>Sheet4!L8</f>
        <v>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140</v>
      </c>
      <c r="D10" s="25">
        <v>2</v>
      </c>
      <c r="E10" s="3" t="str">
        <f t="shared" si="1"/>
        <v>fairday</v>
      </c>
      <c r="F10" s="3" t="str">
        <f>Sheet4!L9</f>
        <v>SE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250</v>
      </c>
      <c r="D11" s="25">
        <v>5</v>
      </c>
      <c r="E11" s="3" t="str">
        <f t="shared" si="1"/>
        <v>cloudy</v>
      </c>
      <c r="F11" s="3" t="str">
        <f>Sheet4!L10</f>
        <v>WSW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290</v>
      </c>
      <c r="D12" s="25">
        <v>6</v>
      </c>
      <c r="E12" s="3" t="str">
        <f t="shared" si="1"/>
        <v>partlycloudy</v>
      </c>
      <c r="F12" s="3" t="str">
        <f>Sheet4!L11</f>
        <v>WNW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230</v>
      </c>
      <c r="D13" s="25">
        <v>5</v>
      </c>
      <c r="E13" s="3" t="str">
        <f t="shared" si="1"/>
        <v>cloudy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248</v>
      </c>
      <c r="D14" s="25">
        <v>5</v>
      </c>
      <c r="E14" s="3" t="str">
        <f t="shared" si="1"/>
        <v>cloudy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240</v>
      </c>
      <c r="D15" s="25">
        <v>6</v>
      </c>
      <c r="E15" s="3" t="str">
        <f t="shared" si="1"/>
        <v>partlycloudy</v>
      </c>
      <c r="F15" s="3" t="str">
        <f>Sheet4!L14</f>
        <v>WSW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293</v>
      </c>
      <c r="D16" s="25">
        <v>5</v>
      </c>
      <c r="E16" s="3" t="str">
        <f t="shared" si="1"/>
        <v>cloudy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309</v>
      </c>
      <c r="D17" s="25">
        <v>2</v>
      </c>
      <c r="E17" s="3" t="str">
        <f t="shared" si="1"/>
        <v>fairday</v>
      </c>
      <c r="F17" s="3" t="str">
        <f>Sheet4!L16</f>
        <v>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290</v>
      </c>
      <c r="D18" s="25">
        <v>6</v>
      </c>
      <c r="E18" s="3" t="str">
        <f t="shared" si="1"/>
        <v>partlycloudy</v>
      </c>
      <c r="F18" s="3" t="str">
        <f>Sheet4!L17</f>
        <v>WNW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301</v>
      </c>
      <c r="D19" s="25">
        <v>6</v>
      </c>
      <c r="E19" s="3" t="str">
        <f t="shared" si="1"/>
        <v>partlycloudy</v>
      </c>
      <c r="F19" s="3" t="str">
        <f>Sheet4!L18</f>
        <v>WNW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357</v>
      </c>
      <c r="D20" s="25">
        <v>9</v>
      </c>
      <c r="E20" s="3" t="str">
        <f t="shared" si="1"/>
        <v>haze</v>
      </c>
      <c r="F20" s="3" t="str">
        <f>Sheet4!L19</f>
        <v>N</v>
      </c>
    </row>
    <row r="21" spans="1:14" x14ac:dyDescent="0.25">
      <c r="A21" s="36">
        <v>43497</v>
      </c>
      <c r="B21" s="38" t="s">
        <v>25</v>
      </c>
      <c r="C21" s="33">
        <v>265</v>
      </c>
      <c r="D21" s="25">
        <v>6</v>
      </c>
      <c r="E21" s="3" t="str">
        <f t="shared" si="1"/>
        <v>partlycloudy</v>
      </c>
      <c r="F21" s="3" t="str">
        <f>Sheet4!L20</f>
        <v>W</v>
      </c>
    </row>
    <row r="22" spans="1:14" x14ac:dyDescent="0.25">
      <c r="A22" s="36">
        <v>43475</v>
      </c>
      <c r="B22" s="38" t="s">
        <v>26</v>
      </c>
      <c r="C22" s="33">
        <v>230</v>
      </c>
      <c r="D22" s="25">
        <v>6</v>
      </c>
      <c r="E22" s="3" t="str">
        <f t="shared" si="1"/>
        <v>partlycloudy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260</v>
      </c>
      <c r="D23" s="25">
        <v>6</v>
      </c>
      <c r="E23" s="3" t="str">
        <f t="shared" si="1"/>
        <v>partlycloudy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2</v>
      </c>
      <c r="E24" s="3" t="str">
        <f t="shared" si="1"/>
        <v>fairday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 t="s">
        <v>77</v>
      </c>
      <c r="D25" s="25">
        <v>2</v>
      </c>
      <c r="E25" s="3" t="str">
        <f t="shared" si="1"/>
        <v>fairday</v>
      </c>
      <c r="F25" s="3" t="e">
        <f>Sheet4!L24</f>
        <v>#N/A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180</v>
      </c>
      <c r="L1" t="str">
        <f>VLOOKUP(K1,A$2:B$363,2,FALSE)</f>
        <v>S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 t="str">
        <f>Sheet2!C3</f>
        <v>NA</v>
      </c>
      <c r="L2" t="e">
        <f t="shared" ref="L2:L24" si="0">VLOOKUP(K2,A$2:B$363,2,FALSE)</f>
        <v>#N/A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208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239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230</v>
      </c>
      <c r="L8" t="str">
        <f t="shared" si="0"/>
        <v>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140</v>
      </c>
      <c r="L9" t="str">
        <f t="shared" si="0"/>
        <v>SE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250</v>
      </c>
      <c r="L10" t="str">
        <f t="shared" si="0"/>
        <v>WSW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290</v>
      </c>
      <c r="L11" t="str">
        <f t="shared" si="0"/>
        <v>WNW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230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248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240</v>
      </c>
      <c r="L14" t="str">
        <f t="shared" si="0"/>
        <v>WSW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293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309</v>
      </c>
      <c r="L16" t="str">
        <f t="shared" si="0"/>
        <v>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290</v>
      </c>
      <c r="L17" t="str">
        <f t="shared" si="0"/>
        <v>WNW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301</v>
      </c>
      <c r="L18" t="str">
        <f t="shared" si="0"/>
        <v>WNW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357</v>
      </c>
      <c r="L19" t="str">
        <f t="shared" si="0"/>
        <v>N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265</v>
      </c>
      <c r="L20" t="str">
        <f t="shared" si="0"/>
        <v>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230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260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 t="str">
        <f>Sheet2!C25</f>
        <v>NA</v>
      </c>
      <c r="L24" t="e">
        <f t="shared" si="0"/>
        <v>#N/A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2026-07-10T12:31:00Z</dcterms:modified>
</cp:coreProperties>
</file>