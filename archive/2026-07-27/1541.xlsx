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9023BC4E-55BE-48ED-BE67-2C1AE93E331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<sst xmlns="http://schemas.openxmlformats.org/spreadsheetml/2006/main" count="606" uniqueCount="82">
  <si>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</si>
  <si>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</si>
  <si>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</si>
  <si>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</si>
  <si>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</si>
  <si>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</si>
  <si>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</si>
  <si>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</si>
  <si>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</si>
  <si>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</si>
  <si>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</si>
  <si>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</si>
  <si>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</si>
  <si>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</si>
  <si>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</si>
  <si>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</si>
  <si>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</si>
  <si>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</si>
  <si>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</si>
  <si>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</si>
  <si>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</si>
  <si>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</si>
  <si>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</si>
  <si>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</si>
  <si>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</si>
  <si>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</si>
  <si>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</si>
  <si>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</si>
  <si>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</si>
  <si>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</si>
  <si>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</si>
  <si>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</si>
  <si>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</si>
  <si>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</si>
  <si>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</si>
  <si>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</si>
  <si>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</si>
  <si>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</si>
  <si>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</si>
  <si>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</si>
  <si>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</si>
  <si>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</si>
  <si>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</si>
  <si>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</si>
  <si>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</si>
  <si>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</si>
  <si>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</si>
  <si>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</si>
  <si>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</si>
  <si>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</si>
  <si>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</si>
  <si>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</si>
  <si>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</si>
  <si>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</si>
  <si>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</si>
  <si>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</si>
  <si>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</si>
  <si>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</si>
  <si>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</si>
  <si>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</si>
  <si>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</si>
  <si>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</si>
  <si>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</si>
  <si>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</si>
  <si>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</si>
  <si>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</si>
  <si>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</si>
  <si>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</si>
  <si>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</si>
  <si>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</si>
  <si>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</si>
  <si>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</si>
  <si>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</si>
  <si>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</si>
  <si>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</si>
  <si>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</si>
  <si>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</si>
  <si>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2026-07-27 1730</t>
  </si>
  <si>
    <t>25.0</t>
  </si>
  <si>
    <t>2026-07-27 2030</t>
  </si>
  <si>
    <t>Trace</t>
  </si>
  <si>
    <t>Calm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</si>
</sst>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N13" sqref="N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79</v>
      </c>
      <c r="D2" s="39">
        <v>0</v>
      </c>
      <c r="E2" s="39">
        <v>0</v>
      </c>
      <c r="F2" s="40">
        <v>30.2</v>
      </c>
      <c r="G2" s="24">
        <v>66</v>
      </c>
      <c r="H2" s="3" t="s">
        <v>38</v>
      </c>
      <c r="I2" s="3" t="s">
        <v>55</v>
      </c>
      <c r="J2" s="40">
        <v>6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79</v>
      </c>
      <c r="D3" s="39">
        <v>0</v>
      </c>
      <c r="E3" s="39">
        <v>0</v>
      </c>
      <c r="F3" s="40">
        <v>28.5</v>
      </c>
      <c r="G3" s="3">
        <v>83</v>
      </c>
      <c r="H3" s="3" t="s">
        <v>38</v>
      </c>
      <c r="I3" s="3" t="s">
        <v>55</v>
      </c>
      <c r="J3" s="40">
        <v>21.6</v>
      </c>
      <c r="M3" s="3"/>
    </row>
    <row r="4" spans="1:15" ht="15" customHeight="1" x14ac:dyDescent="0.25">
      <c r="A4" s="1">
        <v>43415</v>
      </c>
      <c r="B4" s="1" t="s">
        <v>10</v>
      </c>
      <c r="C4" s="26" t="s">
        <v>79</v>
      </c>
      <c r="D4" s="39">
        <v>0</v>
      </c>
      <c r="E4" s="39">
        <v>0</v>
      </c>
      <c r="F4" s="40">
        <v>28.4</v>
      </c>
      <c r="G4" s="3">
        <v>85</v>
      </c>
      <c r="H4" s="3" t="s">
        <v>38</v>
      </c>
      <c r="I4" s="3" t="s">
        <v>56</v>
      </c>
      <c r="J4" s="40">
        <v>6.5</v>
      </c>
    </row>
    <row r="5" spans="1:15" ht="15" customHeight="1" x14ac:dyDescent="0.25">
      <c r="A5" s="1">
        <v>43418</v>
      </c>
      <c r="B5" s="2" t="s">
        <v>11</v>
      </c>
      <c r="C5" s="26" t="s">
        <v>79</v>
      </c>
      <c r="D5" s="39">
        <v>0</v>
      </c>
      <c r="E5" s="39">
        <v>0</v>
      </c>
      <c r="F5" s="40">
        <v>29.5</v>
      </c>
      <c r="G5" s="3">
        <v>69</v>
      </c>
      <c r="H5" s="3" t="s">
        <v>38</v>
      </c>
      <c r="I5" s="3" t="s">
        <v>55</v>
      </c>
      <c r="J5" s="40">
        <v>12.4</v>
      </c>
      <c r="M5" s="3"/>
    </row>
    <row r="6" spans="1:15" ht="15" customHeight="1" x14ac:dyDescent="0.25">
      <c r="A6" s="1">
        <v>43421</v>
      </c>
      <c r="B6" s="2" t="s">
        <v>12</v>
      </c>
      <c r="C6" s="26" t="s">
        <v>79</v>
      </c>
      <c r="D6" s="39">
        <v>0</v>
      </c>
      <c r="E6" s="39">
        <v>0</v>
      </c>
      <c r="F6" s="40">
        <v>28.2</v>
      </c>
      <c r="G6" s="3">
        <v>79</v>
      </c>
      <c r="H6" s="3" t="s">
        <v>38</v>
      </c>
      <c r="I6" s="3" t="s">
        <v>57</v>
      </c>
      <c r="J6" s="40">
        <v>7.56</v>
      </c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79</v>
      </c>
      <c r="D7" s="40">
        <v>0</v>
      </c>
      <c r="E7" s="40" t="s">
        <v>80</v>
      </c>
      <c r="F7" s="40">
        <v>28.9</v>
      </c>
      <c r="G7" s="3">
        <v>79</v>
      </c>
      <c r="H7" s="3" t="s">
        <v>36</v>
      </c>
      <c r="I7" s="3" t="s">
        <v>61</v>
      </c>
      <c r="J7" s="40">
        <v>7.6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79</v>
      </c>
      <c r="D8" s="39">
        <v>0</v>
      </c>
      <c r="E8" s="39">
        <v>0</v>
      </c>
      <c r="F8" s="40">
        <v>30</v>
      </c>
      <c r="G8" s="3">
        <v>85</v>
      </c>
      <c r="H8" s="3" t="s">
        <v>38</v>
      </c>
      <c r="I8" s="3" t="s">
        <v>81</v>
      </c>
      <c r="J8" s="40" t="s">
        <v>81</v>
      </c>
      <c r="M8" s="3"/>
      <c r="N8" s="24"/>
      <c r="O8" s="24"/>
    </row>
    <row r="9" spans="1:15" ht="16.5" customHeight="1" x14ac:dyDescent="0.25">
      <c r="A9" s="1">
        <v>43441</v>
      </c>
      <c r="B9" s="2" t="s">
        <v>16</v>
      </c>
      <c r="C9" s="26" t="s">
        <v>79</v>
      </c>
      <c r="D9" s="39">
        <v>0</v>
      </c>
      <c r="E9" s="39">
        <v>0</v>
      </c>
      <c r="F9" s="40">
        <v>28</v>
      </c>
      <c r="G9" s="3">
        <v>74</v>
      </c>
      <c r="H9" s="3" t="s">
        <v>35</v>
      </c>
      <c r="I9" s="3" t="s">
        <v>55</v>
      </c>
      <c r="J9" s="40">
        <v>3.2</v>
      </c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79</v>
      </c>
      <c r="D10" s="39">
        <v>0</v>
      </c>
      <c r="E10" s="39">
        <v>0</v>
      </c>
      <c r="F10" s="40">
        <v>25.4</v>
      </c>
      <c r="G10" s="3">
        <v>75</v>
      </c>
      <c r="H10" s="3" t="s">
        <v>38</v>
      </c>
      <c r="I10" s="3" t="s">
        <v>55</v>
      </c>
      <c r="J10" s="40">
        <v>2.8</v>
      </c>
      <c r="M10" s="3"/>
      <c r="N10" s="24"/>
      <c r="O10" s="24"/>
    </row>
    <row r="11" spans="1:15" x14ac:dyDescent="0.25">
      <c r="A11" s="1">
        <v>43450</v>
      </c>
      <c r="B11" s="2" t="s">
        <v>17</v>
      </c>
      <c r="C11" s="26" t="s">
        <v>79</v>
      </c>
      <c r="D11" s="39">
        <v>0</v>
      </c>
      <c r="E11" s="39" t="s">
        <v>80</v>
      </c>
      <c r="F11" s="40">
        <v>29.4</v>
      </c>
      <c r="G11" s="3">
        <v>77</v>
      </c>
      <c r="H11" s="3" t="s">
        <v>35</v>
      </c>
      <c r="I11" s="3" t="s">
        <v>56</v>
      </c>
      <c r="J11" s="40">
        <v>13.32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79</v>
      </c>
      <c r="D12" s="39">
        <v>0</v>
      </c>
      <c r="E12" s="39">
        <v>0</v>
      </c>
      <c r="F12" s="40">
        <v>29.4</v>
      </c>
      <c r="G12" s="3">
        <v>79</v>
      </c>
      <c r="H12" s="3" t="s">
        <v>38</v>
      </c>
      <c r="I12" s="3" t="s">
        <v>55</v>
      </c>
      <c r="J12" s="40">
        <v>8.64</v>
      </c>
      <c r="M12" s="3"/>
      <c r="N12" s="24"/>
      <c r="O12" s="24"/>
    </row>
    <row r="13" spans="1:15" ht="16.5" customHeight="1" x14ac:dyDescent="0.25">
      <c r="A13" s="1">
        <v>43467</v>
      </c>
      <c r="B13" s="2" t="s">
        <v>19</v>
      </c>
      <c r="C13" s="26" t="s">
        <v>79</v>
      </c>
      <c r="D13" s="40">
        <v>0</v>
      </c>
      <c r="E13" s="40">
        <v>0</v>
      </c>
      <c r="F13" s="40">
        <v>29.6</v>
      </c>
      <c r="G13" s="3">
        <v>79</v>
      </c>
      <c r="H13" s="3" t="s">
        <v>38</v>
      </c>
      <c r="I13" s="3" t="s">
        <v>55</v>
      </c>
      <c r="J13" s="40">
        <v>9.6999999999999993</v>
      </c>
      <c r="M13" s="3"/>
      <c r="N13" s="24"/>
      <c r="O13" s="24"/>
    </row>
    <row r="14" spans="1:15" x14ac:dyDescent="0.25">
      <c r="A14" s="1">
        <v>43473</v>
      </c>
      <c r="B14" s="2" t="s">
        <v>20</v>
      </c>
      <c r="C14" s="26" t="s">
        <v>79</v>
      </c>
      <c r="D14" s="39">
        <v>0</v>
      </c>
      <c r="E14" s="39">
        <v>0</v>
      </c>
      <c r="F14" s="40">
        <v>15.3</v>
      </c>
      <c r="G14" s="3">
        <v>82</v>
      </c>
      <c r="H14" s="3" t="s">
        <v>35</v>
      </c>
      <c r="I14" s="3" t="s">
        <v>58</v>
      </c>
      <c r="J14" s="40">
        <v>20.88</v>
      </c>
      <c r="M14" s="3"/>
      <c r="N14" s="24"/>
      <c r="O14" s="24"/>
    </row>
    <row r="15" spans="1:15" ht="15" customHeight="1" x14ac:dyDescent="0.25">
      <c r="A15" s="1">
        <v>43479</v>
      </c>
      <c r="B15" s="1" t="s">
        <v>22</v>
      </c>
      <c r="C15" s="26" t="s">
        <v>79</v>
      </c>
      <c r="D15" s="39">
        <v>0</v>
      </c>
      <c r="E15" s="39">
        <v>0</v>
      </c>
      <c r="F15" s="40">
        <v>24.9</v>
      </c>
      <c r="G15" s="3">
        <v>61</v>
      </c>
      <c r="H15" s="3" t="s">
        <v>38</v>
      </c>
      <c r="I15" s="3" t="s">
        <v>60</v>
      </c>
      <c r="J15" s="40">
        <v>3.6</v>
      </c>
    </row>
    <row r="16" spans="1:15" x14ac:dyDescent="0.25">
      <c r="A16" s="1">
        <v>43486</v>
      </c>
      <c r="B16" s="2" t="s">
        <v>23</v>
      </c>
      <c r="C16" s="26" t="s">
        <v>79</v>
      </c>
      <c r="D16" s="39">
        <v>0</v>
      </c>
      <c r="E16" s="39">
        <v>0.6</v>
      </c>
      <c r="F16" s="40">
        <v>27.8</v>
      </c>
      <c r="G16" s="3">
        <v>79</v>
      </c>
      <c r="H16" s="3" t="s">
        <v>40</v>
      </c>
      <c r="I16" s="3" t="s">
        <v>73</v>
      </c>
      <c r="J16" s="40">
        <v>5.04</v>
      </c>
      <c r="M16" s="3"/>
    </row>
    <row r="17" spans="1:15" x14ac:dyDescent="0.25">
      <c r="A17" s="1">
        <v>43495</v>
      </c>
      <c r="B17" s="2" t="s">
        <v>24</v>
      </c>
      <c r="C17" s="26" t="s">
        <v>79</v>
      </c>
      <c r="D17" s="39">
        <v>0</v>
      </c>
      <c r="E17" s="39">
        <v>0.5</v>
      </c>
      <c r="F17" s="40">
        <v>29</v>
      </c>
      <c r="G17" s="3">
        <v>82</v>
      </c>
      <c r="H17" s="3" t="s">
        <v>38</v>
      </c>
      <c r="I17" s="3" t="s">
        <v>55</v>
      </c>
      <c r="J17" s="40">
        <v>22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79</v>
      </c>
      <c r="D18" s="39">
        <v>0</v>
      </c>
      <c r="E18" s="39">
        <v>0</v>
      </c>
      <c r="F18" s="40">
        <v>27.2</v>
      </c>
      <c r="G18" s="3">
        <v>88</v>
      </c>
      <c r="H18" s="3" t="s">
        <v>38</v>
      </c>
      <c r="I18" s="3" t="s">
        <v>55</v>
      </c>
      <c r="J18" s="40">
        <v>9.7200000000000006</v>
      </c>
      <c r="M18" s="3"/>
    </row>
    <row r="19" spans="1:15" ht="15.75" customHeight="1" x14ac:dyDescent="0.25">
      <c r="A19" s="1">
        <v>330601</v>
      </c>
      <c r="B19" s="2" t="s">
        <v>27</v>
      </c>
      <c r="C19" s="26" t="s">
        <v>79</v>
      </c>
      <c r="D19" s="39">
        <v>0</v>
      </c>
      <c r="E19" s="39">
        <v>0</v>
      </c>
      <c r="F19" s="40">
        <v>28.5</v>
      </c>
      <c r="G19" s="3">
        <v>74</v>
      </c>
      <c r="H19" s="3" t="s">
        <v>38</v>
      </c>
      <c r="I19" s="3" t="s">
        <v>57</v>
      </c>
      <c r="J19" s="40">
        <v>18.2</v>
      </c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79</v>
      </c>
      <c r="D20" s="39">
        <v>0</v>
      </c>
      <c r="E20" s="39">
        <v>0</v>
      </c>
      <c r="F20" s="40">
        <v>29.4</v>
      </c>
      <c r="G20" s="24">
        <v>57</v>
      </c>
      <c r="H20" s="3" t="s">
        <v>38</v>
      </c>
      <c r="I20" s="3" t="s">
        <v>81</v>
      </c>
      <c r="J20" s="24" t="s">
        <v>81</v>
      </c>
      <c r="K20" s="24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79</v>
      </c>
      <c r="D21" s="39">
        <v>0</v>
      </c>
      <c r="E21" s="39">
        <v>0</v>
      </c>
      <c r="F21" s="40">
        <v>29.5</v>
      </c>
      <c r="G21" s="24">
        <v>61</v>
      </c>
      <c r="H21" s="3" t="s">
        <v>38</v>
      </c>
      <c r="I21" s="3" t="s">
        <v>57</v>
      </c>
      <c r="J21" s="24">
        <v>8.3000000000000007</v>
      </c>
      <c r="K21" s="24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6" t="s">
        <v>77</v>
      </c>
      <c r="D22" s="39" t="s">
        <v>76</v>
      </c>
      <c r="E22" s="39" t="s">
        <v>76</v>
      </c>
      <c r="F22" s="40">
        <v>30.4</v>
      </c>
      <c r="G22" s="24">
        <v>76</v>
      </c>
      <c r="H22" s="3" t="s">
        <v>32</v>
      </c>
      <c r="I22" s="3" t="s">
        <v>56</v>
      </c>
      <c r="J22" s="24">
        <v>10.1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77</v>
      </c>
      <c r="D23" s="39" t="s">
        <v>76</v>
      </c>
      <c r="E23" s="39" t="s">
        <v>76</v>
      </c>
      <c r="F23" s="40">
        <v>30.2</v>
      </c>
      <c r="G23" s="24">
        <v>64</v>
      </c>
      <c r="H23" s="3" t="s">
        <v>32</v>
      </c>
      <c r="I23" s="3" t="s">
        <v>61</v>
      </c>
      <c r="J23" s="24">
        <v>6.8</v>
      </c>
      <c r="K23" s="24"/>
      <c r="N23" s="24"/>
      <c r="O23" s="24"/>
    </row>
    <row r="24" spans="1:15" ht="15" customHeight="1" x14ac:dyDescent="0.25">
      <c r="A24" s="1">
        <v>43475</v>
      </c>
      <c r="B24" s="2" t="s">
        <v>26</v>
      </c>
      <c r="C24" s="26" t="s">
        <v>77</v>
      </c>
      <c r="D24" s="39" t="s">
        <v>76</v>
      </c>
      <c r="E24" s="39" t="s">
        <v>76</v>
      </c>
      <c r="F24" s="40">
        <v>32.799999999999997</v>
      </c>
      <c r="G24" s="24">
        <v>55</v>
      </c>
      <c r="H24" s="3" t="s">
        <v>32</v>
      </c>
      <c r="I24" s="3" t="s">
        <v>72</v>
      </c>
      <c r="J24" s="24">
        <v>6.5</v>
      </c>
      <c r="K24" s="24"/>
      <c r="N24" s="24"/>
      <c r="O24" s="24"/>
    </row>
    <row r="25" spans="1:15" ht="15" customHeight="1" x14ac:dyDescent="0.25">
      <c r="A25" s="1">
        <v>43476</v>
      </c>
      <c r="B25" s="1" t="s">
        <v>21</v>
      </c>
      <c r="C25" s="26" t="s">
        <v>77</v>
      </c>
      <c r="D25" s="39" t="s">
        <v>76</v>
      </c>
      <c r="E25" s="39" t="s">
        <v>76</v>
      </c>
      <c r="F25" s="40" t="s">
        <v>78</v>
      </c>
      <c r="G25" s="24">
        <v>59</v>
      </c>
      <c r="H25" s="3" t="s">
        <v>32</v>
      </c>
      <c r="I25" s="3" t="s">
        <v>61</v>
      </c>
      <c r="J25" s="24">
        <v>20.8</v>
      </c>
      <c r="K25" s="24"/>
      <c r="N25" s="24"/>
      <c r="O25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6:I19 H20 H1:H6 H7:I13 M1:M25 H21:I25 H14:H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I19 I21:I25 I11:I13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C3" sqref="C3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157</v>
      </c>
      <c r="D2" s="25">
        <v>2</v>
      </c>
      <c r="E2" s="3" t="str">
        <f>VLOOKUP(D2,$G$1:$H$19,2,FALSE)</f>
        <v>fairday</v>
      </c>
      <c r="F2" s="3" t="str">
        <f>Sheet4!L1</f>
        <v>SSE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212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208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6</v>
      </c>
      <c r="E6" s="3" t="str">
        <f t="shared" si="1"/>
        <v>partlycloudy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267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300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234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290</v>
      </c>
      <c r="D16" s="25">
        <v>2</v>
      </c>
      <c r="E16" s="3" t="str">
        <f t="shared" si="1"/>
        <v>fairday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185</v>
      </c>
      <c r="D17" s="25">
        <v>2</v>
      </c>
      <c r="E17" s="3" t="str">
        <f t="shared" si="1"/>
        <v>fairday</v>
      </c>
      <c r="F17" s="3" t="str">
        <f>Sheet4!L16</f>
        <v>S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270</v>
      </c>
      <c r="D18" s="25">
        <v>2</v>
      </c>
      <c r="E18" s="3" t="str">
        <f t="shared" si="1"/>
        <v>fairday</v>
      </c>
      <c r="F18" s="3" t="str">
        <f>Sheet4!L17</f>
        <v>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252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264</v>
      </c>
      <c r="D20" s="25">
        <v>6</v>
      </c>
      <c r="E20" s="3" t="str">
        <f t="shared" si="1"/>
        <v>partlycloudy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250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219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230</v>
      </c>
      <c r="D25" s="25">
        <v>2</v>
      </c>
      <c r="E25" s="3" t="str">
        <f t="shared" si="1"/>
        <v>fairday</v>
      </c>
      <c r="F25" s="3" t="str">
        <f>Sheet4!L24</f>
        <v>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157</v>
      </c>
      <c r="L1" t="str">
        <f>VLOOKUP(K1,A$2:B$363,2,FALSE)</f>
        <v>SSE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212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208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300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234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290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185</v>
      </c>
      <c r="L16" t="str">
        <f t="shared" si="0"/>
        <v>S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270</v>
      </c>
      <c r="L17" t="str">
        <f t="shared" si="0"/>
        <v>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252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264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219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2026-07-27T15:40:09Z</dcterms:modified>
</cp:coreProperties>
</file>